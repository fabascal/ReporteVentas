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orra\javier\"/>
    </mc:Choice>
  </mc:AlternateContent>
  <xr:revisionPtr revIDLastSave="0" documentId="8_{33F2EDC2-3D64-4FE3-968E-EF85266FE859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Vtas" sheetId="1" r:id="rId1"/>
    <sheet name="RVta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1" l="1"/>
  <c r="D36" i="1"/>
  <c r="B36" i="1"/>
  <c r="M33" i="2" s="1"/>
  <c r="F35" i="1"/>
  <c r="O32" i="2" s="1"/>
  <c r="D35" i="1"/>
  <c r="N32" i="2" s="1"/>
  <c r="B35" i="1"/>
  <c r="M32" i="2" s="1"/>
  <c r="F34" i="1"/>
  <c r="O31" i="2" s="1"/>
  <c r="D34" i="1"/>
  <c r="N31" i="2" s="1"/>
  <c r="B34" i="1"/>
  <c r="M31" i="2" s="1"/>
  <c r="F33" i="1"/>
  <c r="D33" i="1"/>
  <c r="B33" i="1"/>
  <c r="F32" i="1"/>
  <c r="D32" i="1"/>
  <c r="B32" i="1"/>
  <c r="M29" i="2" s="1"/>
  <c r="F31" i="1"/>
  <c r="BA31" i="1" s="1"/>
  <c r="D31" i="1"/>
  <c r="N28" i="2" s="1"/>
  <c r="B31" i="1"/>
  <c r="M28" i="2" s="1"/>
  <c r="F30" i="1"/>
  <c r="BA30" i="1" s="1"/>
  <c r="D30" i="1"/>
  <c r="N27" i="2" s="1"/>
  <c r="B30" i="1"/>
  <c r="M27" i="2" s="1"/>
  <c r="F29" i="1"/>
  <c r="BA29" i="1" s="1"/>
  <c r="D29" i="1"/>
  <c r="N26" i="2" s="1"/>
  <c r="B29" i="1"/>
  <c r="F28" i="1"/>
  <c r="O25" i="2" s="1"/>
  <c r="D28" i="1"/>
  <c r="B28" i="1"/>
  <c r="F27" i="1"/>
  <c r="BA27" i="1" s="1"/>
  <c r="D27" i="1"/>
  <c r="B27" i="1"/>
  <c r="M24" i="2" s="1"/>
  <c r="F26" i="1"/>
  <c r="BA26" i="1" s="1"/>
  <c r="D26" i="1"/>
  <c r="B26" i="1"/>
  <c r="M23" i="2" s="1"/>
  <c r="F25" i="1"/>
  <c r="D25" i="1"/>
  <c r="N22" i="2" s="1"/>
  <c r="B25" i="1"/>
  <c r="M22" i="2" s="1"/>
  <c r="F24" i="1"/>
  <c r="O21" i="2" s="1"/>
  <c r="D24" i="1"/>
  <c r="N21" i="2" s="1"/>
  <c r="B24" i="1"/>
  <c r="M21" i="2" s="1"/>
  <c r="N22" i="1"/>
  <c r="F23" i="1"/>
  <c r="D23" i="1"/>
  <c r="N20" i="2" s="1"/>
  <c r="B23" i="1"/>
  <c r="M20" i="2" s="1"/>
  <c r="F22" i="1"/>
  <c r="BA22" i="1" s="1"/>
  <c r="D22" i="1"/>
  <c r="N19" i="2" s="1"/>
  <c r="B22" i="1"/>
  <c r="F21" i="1"/>
  <c r="O18" i="2" s="1"/>
  <c r="D21" i="1"/>
  <c r="N18" i="2" s="1"/>
  <c r="B21" i="1"/>
  <c r="M18" i="2" s="1"/>
  <c r="F20" i="1"/>
  <c r="O17" i="2" s="1"/>
  <c r="D20" i="1"/>
  <c r="N17" i="2" s="1"/>
  <c r="B20" i="1"/>
  <c r="M17" i="2" s="1"/>
  <c r="F19" i="1"/>
  <c r="BA19" i="1" s="1"/>
  <c r="D19" i="1"/>
  <c r="N16" i="2" s="1"/>
  <c r="B19" i="1"/>
  <c r="M16" i="2" s="1"/>
  <c r="F18" i="1"/>
  <c r="O15" i="2" s="1"/>
  <c r="D18" i="1"/>
  <c r="N15" i="2" s="1"/>
  <c r="B18" i="1"/>
  <c r="M15" i="2" s="1"/>
  <c r="AF17" i="1"/>
  <c r="AE17" i="1"/>
  <c r="F17" i="1"/>
  <c r="O14" i="2" s="1"/>
  <c r="D17" i="1"/>
  <c r="N14" i="2" s="1"/>
  <c r="B17" i="1"/>
  <c r="M14" i="2" s="1"/>
  <c r="F16" i="1"/>
  <c r="O13" i="2" s="1"/>
  <c r="D16" i="1"/>
  <c r="N13" i="2" s="1"/>
  <c r="B16" i="1"/>
  <c r="M13" i="2" s="1"/>
  <c r="F15" i="1"/>
  <c r="O12" i="2" s="1"/>
  <c r="D15" i="1"/>
  <c r="N12" i="2" s="1"/>
  <c r="B15" i="1"/>
  <c r="M12" i="2" s="1"/>
  <c r="F14" i="1"/>
  <c r="O11" i="2" s="1"/>
  <c r="D14" i="1"/>
  <c r="B14" i="1"/>
  <c r="F13" i="1"/>
  <c r="O10" i="2" s="1"/>
  <c r="D13" i="1"/>
  <c r="N10" i="2" s="1"/>
  <c r="B13" i="1"/>
  <c r="F12" i="1"/>
  <c r="BA12" i="1" s="1"/>
  <c r="D12" i="1"/>
  <c r="B12" i="1"/>
  <c r="M9" i="2" s="1"/>
  <c r="F11" i="1"/>
  <c r="O8" i="2" s="1"/>
  <c r="D11" i="1"/>
  <c r="N8" i="2" s="1"/>
  <c r="B11" i="1"/>
  <c r="M8" i="2" s="1"/>
  <c r="F10" i="1"/>
  <c r="O7" i="2" s="1"/>
  <c r="D10" i="1"/>
  <c r="N7" i="2" s="1"/>
  <c r="B10" i="1"/>
  <c r="M7" i="2" s="1"/>
  <c r="F9" i="1"/>
  <c r="O6" i="2" s="1"/>
  <c r="D9" i="1"/>
  <c r="N6" i="2" s="1"/>
  <c r="B9" i="1"/>
  <c r="M6" i="2" s="1"/>
  <c r="F8" i="1"/>
  <c r="D8" i="1"/>
  <c r="N5" i="2" s="1"/>
  <c r="B8" i="1"/>
  <c r="M5" i="2" s="1"/>
  <c r="AU7" i="1"/>
  <c r="F7" i="1"/>
  <c r="D7" i="1"/>
  <c r="N4" i="2" s="1"/>
  <c r="B7" i="1"/>
  <c r="Q7" i="1"/>
  <c r="M8" i="1"/>
  <c r="X9" i="1"/>
  <c r="BA10" i="1"/>
  <c r="BA13" i="1"/>
  <c r="BA15" i="1"/>
  <c r="BA16" i="1"/>
  <c r="BA17" i="1"/>
  <c r="BA18" i="1"/>
  <c r="BA20" i="1"/>
  <c r="BA24" i="1"/>
  <c r="BA32" i="1"/>
  <c r="BA33" i="1"/>
  <c r="BA34" i="1"/>
  <c r="BA36" i="1"/>
  <c r="BA37" i="1"/>
  <c r="T7" i="1"/>
  <c r="V7" i="1" s="1"/>
  <c r="AK7" i="1"/>
  <c r="AM7" i="1" s="1"/>
  <c r="AO7" i="1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O34" i="2"/>
  <c r="N34" i="2"/>
  <c r="M34" i="2"/>
  <c r="H34" i="2"/>
  <c r="G34" i="2"/>
  <c r="F34" i="2"/>
  <c r="D34" i="2"/>
  <c r="C34" i="2"/>
  <c r="O33" i="2"/>
  <c r="N33" i="2"/>
  <c r="H33" i="2"/>
  <c r="G33" i="2"/>
  <c r="F33" i="2"/>
  <c r="D33" i="2"/>
  <c r="C33" i="2"/>
  <c r="H32" i="2"/>
  <c r="G32" i="2"/>
  <c r="F32" i="2"/>
  <c r="D32" i="2"/>
  <c r="C32" i="2"/>
  <c r="H31" i="2"/>
  <c r="G31" i="2"/>
  <c r="F31" i="2"/>
  <c r="D31" i="2"/>
  <c r="C31" i="2"/>
  <c r="O30" i="2"/>
  <c r="N30" i="2"/>
  <c r="M30" i="2"/>
  <c r="H30" i="2"/>
  <c r="G30" i="2"/>
  <c r="F30" i="2"/>
  <c r="D30" i="2"/>
  <c r="C30" i="2"/>
  <c r="O29" i="2"/>
  <c r="N29" i="2"/>
  <c r="H29" i="2"/>
  <c r="G29" i="2"/>
  <c r="F29" i="2"/>
  <c r="D29" i="2"/>
  <c r="C29" i="2"/>
  <c r="H28" i="2"/>
  <c r="G28" i="2"/>
  <c r="F28" i="2"/>
  <c r="D28" i="2"/>
  <c r="C28" i="2"/>
  <c r="H27" i="2"/>
  <c r="G27" i="2"/>
  <c r="F27" i="2"/>
  <c r="D27" i="2"/>
  <c r="C27" i="2"/>
  <c r="M26" i="2"/>
  <c r="H26" i="2"/>
  <c r="G26" i="2"/>
  <c r="F26" i="2"/>
  <c r="D26" i="2"/>
  <c r="C26" i="2"/>
  <c r="N25" i="2"/>
  <c r="M25" i="2"/>
  <c r="H25" i="2"/>
  <c r="G25" i="2"/>
  <c r="F25" i="2"/>
  <c r="D25" i="2"/>
  <c r="C25" i="2"/>
  <c r="N24" i="2"/>
  <c r="H24" i="2"/>
  <c r="G24" i="2"/>
  <c r="F24" i="2"/>
  <c r="D24" i="2"/>
  <c r="C24" i="2"/>
  <c r="N23" i="2"/>
  <c r="H23" i="2"/>
  <c r="G23" i="2"/>
  <c r="F23" i="2"/>
  <c r="D23" i="2"/>
  <c r="C23" i="2"/>
  <c r="H22" i="2"/>
  <c r="G22" i="2"/>
  <c r="F22" i="2"/>
  <c r="D22" i="2"/>
  <c r="C22" i="2"/>
  <c r="H21" i="2"/>
  <c r="G21" i="2"/>
  <c r="F21" i="2"/>
  <c r="D21" i="2"/>
  <c r="C21" i="2"/>
  <c r="H20" i="2"/>
  <c r="G20" i="2"/>
  <c r="F20" i="2"/>
  <c r="D20" i="2"/>
  <c r="C20" i="2"/>
  <c r="M19" i="2"/>
  <c r="H19" i="2"/>
  <c r="G19" i="2"/>
  <c r="F19" i="2"/>
  <c r="D19" i="2"/>
  <c r="C19" i="2"/>
  <c r="H18" i="2"/>
  <c r="G18" i="2"/>
  <c r="F18" i="2"/>
  <c r="D18" i="2"/>
  <c r="C18" i="2"/>
  <c r="H17" i="2"/>
  <c r="G17" i="2"/>
  <c r="F17" i="2"/>
  <c r="D17" i="2"/>
  <c r="C17" i="2"/>
  <c r="O16" i="2"/>
  <c r="H16" i="2"/>
  <c r="G16" i="2"/>
  <c r="F16" i="2"/>
  <c r="D16" i="2"/>
  <c r="C16" i="2"/>
  <c r="H15" i="2"/>
  <c r="G15" i="2"/>
  <c r="F15" i="2"/>
  <c r="D15" i="2"/>
  <c r="C15" i="2"/>
  <c r="H14" i="2"/>
  <c r="G14" i="2"/>
  <c r="F14" i="2"/>
  <c r="D14" i="2"/>
  <c r="C14" i="2"/>
  <c r="H13" i="2"/>
  <c r="G13" i="2"/>
  <c r="F13" i="2"/>
  <c r="D13" i="2"/>
  <c r="C13" i="2"/>
  <c r="H12" i="2"/>
  <c r="G12" i="2"/>
  <c r="F12" i="2"/>
  <c r="D12" i="2"/>
  <c r="C12" i="2"/>
  <c r="N11" i="2"/>
  <c r="M11" i="2"/>
  <c r="H11" i="2"/>
  <c r="G11" i="2"/>
  <c r="F11" i="2"/>
  <c r="D11" i="2"/>
  <c r="C11" i="2"/>
  <c r="M10" i="2"/>
  <c r="H10" i="2"/>
  <c r="G10" i="2"/>
  <c r="F10" i="2"/>
  <c r="D10" i="2"/>
  <c r="C10" i="2"/>
  <c r="N9" i="2"/>
  <c r="H9" i="2"/>
  <c r="G9" i="2"/>
  <c r="F9" i="2"/>
  <c r="D9" i="2"/>
  <c r="C9" i="2"/>
  <c r="H8" i="2"/>
  <c r="G8" i="2"/>
  <c r="F8" i="2"/>
  <c r="D8" i="2"/>
  <c r="C8" i="2"/>
  <c r="H7" i="2"/>
  <c r="G7" i="2"/>
  <c r="F7" i="2"/>
  <c r="D7" i="2"/>
  <c r="C7" i="2"/>
  <c r="H6" i="2"/>
  <c r="G6" i="2"/>
  <c r="F6" i="2"/>
  <c r="D6" i="2"/>
  <c r="C6" i="2"/>
  <c r="H5" i="2"/>
  <c r="G5" i="2"/>
  <c r="F5" i="2"/>
  <c r="D5" i="2"/>
  <c r="C5" i="2"/>
  <c r="M4" i="2"/>
  <c r="H4" i="2"/>
  <c r="G4" i="2"/>
  <c r="F4" i="2"/>
  <c r="D4" i="2"/>
  <c r="C4" i="2"/>
  <c r="BA25" i="1" l="1"/>
  <c r="O22" i="2"/>
  <c r="BA23" i="1"/>
  <c r="O20" i="2"/>
  <c r="BA8" i="1"/>
  <c r="O5" i="2"/>
  <c r="BA35" i="1"/>
  <c r="O28" i="2"/>
  <c r="O27" i="2"/>
  <c r="O26" i="2"/>
  <c r="BA28" i="1"/>
  <c r="O24" i="2"/>
  <c r="O23" i="2"/>
  <c r="O19" i="2"/>
  <c r="BA21" i="1"/>
  <c r="BA14" i="1"/>
  <c r="O9" i="2"/>
  <c r="BA11" i="1"/>
  <c r="BA9" i="1"/>
  <c r="BB7" i="1"/>
  <c r="BD7" i="1" s="1"/>
  <c r="O4" i="2"/>
  <c r="BA7" i="1"/>
  <c r="K14" i="2"/>
  <c r="I11" i="2"/>
  <c r="AQ7" i="1"/>
  <c r="K22" i="2"/>
  <c r="I14" i="2"/>
  <c r="K6" i="2"/>
  <c r="K18" i="2"/>
  <c r="K30" i="2"/>
  <c r="I6" i="2"/>
  <c r="I28" i="2"/>
  <c r="I17" i="2"/>
  <c r="J23" i="2"/>
  <c r="I29" i="2"/>
  <c r="K26" i="2"/>
  <c r="J24" i="2"/>
  <c r="I13" i="2"/>
  <c r="K15" i="2"/>
  <c r="I27" i="2"/>
  <c r="I33" i="2"/>
  <c r="K23" i="2"/>
  <c r="I12" i="2"/>
  <c r="K34" i="2"/>
  <c r="K10" i="2"/>
  <c r="I9" i="2"/>
  <c r="J15" i="2"/>
  <c r="J16" i="2"/>
  <c r="I19" i="2"/>
  <c r="I20" i="2"/>
  <c r="I21" i="2"/>
  <c r="J7" i="2"/>
  <c r="J8" i="2"/>
  <c r="K8" i="2"/>
  <c r="K16" i="2"/>
  <c r="K24" i="2"/>
  <c r="K32" i="2"/>
  <c r="I30" i="2"/>
  <c r="K7" i="2"/>
  <c r="K31" i="2"/>
  <c r="I22" i="2"/>
  <c r="I25" i="2"/>
  <c r="J31" i="2"/>
  <c r="K4" i="2"/>
  <c r="D35" i="2"/>
  <c r="I7" i="2"/>
  <c r="I8" i="2"/>
  <c r="I18" i="2"/>
  <c r="I23" i="2"/>
  <c r="I24" i="2"/>
  <c r="I34" i="2"/>
  <c r="C35" i="2"/>
  <c r="J19" i="2"/>
  <c r="J20" i="2"/>
  <c r="K12" i="2"/>
  <c r="K20" i="2"/>
  <c r="K28" i="2"/>
  <c r="K11" i="2"/>
  <c r="K19" i="2"/>
  <c r="K27" i="2"/>
  <c r="I10" i="2"/>
  <c r="I15" i="2"/>
  <c r="I16" i="2"/>
  <c r="I26" i="2"/>
  <c r="I31" i="2"/>
  <c r="I32" i="2"/>
  <c r="J11" i="2"/>
  <c r="J12" i="2"/>
  <c r="J27" i="2"/>
  <c r="J28" i="2"/>
  <c r="I5" i="2"/>
  <c r="J4" i="2"/>
  <c r="I4" i="2"/>
  <c r="E35" i="2"/>
  <c r="K5" i="2"/>
  <c r="K9" i="2"/>
  <c r="K13" i="2"/>
  <c r="K17" i="2"/>
  <c r="K21" i="2"/>
  <c r="K25" i="2"/>
  <c r="K29" i="2"/>
  <c r="K33" i="2"/>
  <c r="J5" i="2"/>
  <c r="J9" i="2"/>
  <c r="J13" i="2"/>
  <c r="J17" i="2"/>
  <c r="J21" i="2"/>
  <c r="J25" i="2"/>
  <c r="J29" i="2"/>
  <c r="J33" i="2"/>
  <c r="J32" i="2"/>
  <c r="J6" i="2"/>
  <c r="J10" i="2"/>
  <c r="J14" i="2"/>
  <c r="J18" i="2"/>
  <c r="J22" i="2"/>
  <c r="J26" i="2"/>
  <c r="J30" i="2"/>
  <c r="J34" i="2"/>
  <c r="A7" i="1"/>
  <c r="B4" i="2" s="1"/>
  <c r="D40" i="1"/>
  <c r="K3" i="1"/>
  <c r="J3" i="1"/>
  <c r="I3" i="1"/>
  <c r="L14" i="2" l="1"/>
  <c r="L27" i="2"/>
  <c r="L24" i="2"/>
  <c r="L22" i="2"/>
  <c r="L23" i="2"/>
  <c r="L8" i="2"/>
  <c r="A8" i="1"/>
  <c r="L19" i="2"/>
  <c r="L6" i="2"/>
  <c r="L7" i="2"/>
  <c r="L32" i="2"/>
  <c r="L18" i="2"/>
  <c r="L15" i="2"/>
  <c r="L16" i="2"/>
  <c r="L30" i="2"/>
  <c r="L26" i="2"/>
  <c r="L10" i="2"/>
  <c r="L20" i="2"/>
  <c r="L17" i="2"/>
  <c r="L4" i="2"/>
  <c r="L31" i="2"/>
  <c r="L34" i="2"/>
  <c r="L33" i="2"/>
  <c r="L13" i="2"/>
  <c r="L9" i="2"/>
  <c r="L12" i="2"/>
  <c r="L28" i="2"/>
  <c r="L21" i="2"/>
  <c r="L25" i="2"/>
  <c r="L29" i="2"/>
  <c r="L11" i="2"/>
  <c r="I35" i="2"/>
  <c r="F35" i="2" s="1"/>
  <c r="J35" i="2"/>
  <c r="G35" i="2" s="1"/>
  <c r="L5" i="2"/>
  <c r="K35" i="2"/>
  <c r="H35" i="2" s="1"/>
  <c r="BC3" i="1"/>
  <c r="AX3" i="1"/>
  <c r="AW3" i="1"/>
  <c r="AV3" i="1"/>
  <c r="AL3" i="1"/>
  <c r="AG3" i="1"/>
  <c r="AF3" i="1"/>
  <c r="AE3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U3" i="1"/>
  <c r="P3" i="1"/>
  <c r="O3" i="1"/>
  <c r="N3" i="1"/>
  <c r="R7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B5" i="2" l="1"/>
  <c r="A9" i="1"/>
  <c r="L35" i="2"/>
  <c r="AZ3" i="1"/>
  <c r="R3" i="1"/>
  <c r="AI3" i="1"/>
  <c r="AU37" i="1"/>
  <c r="AU36" i="1"/>
  <c r="BB36" i="1" s="1"/>
  <c r="BD36" i="1" s="1"/>
  <c r="AU35" i="1"/>
  <c r="BB35" i="1" s="1"/>
  <c r="BD35" i="1" s="1"/>
  <c r="AU34" i="1"/>
  <c r="BB34" i="1" s="1"/>
  <c r="BD34" i="1" s="1"/>
  <c r="AU33" i="1"/>
  <c r="BB33" i="1" s="1"/>
  <c r="BD33" i="1" s="1"/>
  <c r="AU32" i="1"/>
  <c r="BB32" i="1" s="1"/>
  <c r="BD32" i="1" s="1"/>
  <c r="AU31" i="1"/>
  <c r="BB31" i="1" s="1"/>
  <c r="BD31" i="1" s="1"/>
  <c r="AU30" i="1"/>
  <c r="BB30" i="1" s="1"/>
  <c r="BD30" i="1" s="1"/>
  <c r="AU29" i="1"/>
  <c r="BB29" i="1" s="1"/>
  <c r="BD29" i="1" s="1"/>
  <c r="AU28" i="1"/>
  <c r="BB28" i="1" s="1"/>
  <c r="BD28" i="1" s="1"/>
  <c r="AU27" i="1"/>
  <c r="BB27" i="1" s="1"/>
  <c r="BD27" i="1" s="1"/>
  <c r="AU26" i="1"/>
  <c r="BB26" i="1" s="1"/>
  <c r="BD26" i="1" s="1"/>
  <c r="AU25" i="1"/>
  <c r="BB25" i="1" s="1"/>
  <c r="BD25" i="1" s="1"/>
  <c r="AU24" i="1"/>
  <c r="BB24" i="1" s="1"/>
  <c r="BD24" i="1" s="1"/>
  <c r="AU23" i="1"/>
  <c r="BB23" i="1" s="1"/>
  <c r="BD23" i="1" s="1"/>
  <c r="AU22" i="1"/>
  <c r="BB22" i="1" s="1"/>
  <c r="BD22" i="1" s="1"/>
  <c r="AU21" i="1"/>
  <c r="BB21" i="1" s="1"/>
  <c r="BD21" i="1" s="1"/>
  <c r="AU20" i="1"/>
  <c r="BB20" i="1" s="1"/>
  <c r="BD20" i="1" s="1"/>
  <c r="AU19" i="1"/>
  <c r="BB19" i="1" s="1"/>
  <c r="BD19" i="1" s="1"/>
  <c r="AU18" i="1"/>
  <c r="BB18" i="1" s="1"/>
  <c r="BD18" i="1" s="1"/>
  <c r="AU17" i="1"/>
  <c r="BB17" i="1" s="1"/>
  <c r="BD17" i="1" s="1"/>
  <c r="AU16" i="1"/>
  <c r="BB16" i="1" s="1"/>
  <c r="BD16" i="1" s="1"/>
  <c r="AU15" i="1"/>
  <c r="BB15" i="1" s="1"/>
  <c r="BD15" i="1" s="1"/>
  <c r="AU14" i="1"/>
  <c r="BB14" i="1" s="1"/>
  <c r="BD14" i="1" s="1"/>
  <c r="AU13" i="1"/>
  <c r="BB13" i="1" s="1"/>
  <c r="BD13" i="1" s="1"/>
  <c r="AU12" i="1"/>
  <c r="BB12" i="1" s="1"/>
  <c r="BD12" i="1" s="1"/>
  <c r="AU11" i="1"/>
  <c r="BB11" i="1" s="1"/>
  <c r="BD11" i="1" s="1"/>
  <c r="AU10" i="1"/>
  <c r="BB10" i="1" s="1"/>
  <c r="BD10" i="1" s="1"/>
  <c r="AU9" i="1"/>
  <c r="BB9" i="1" s="1"/>
  <c r="BD9" i="1" s="1"/>
  <c r="AU8" i="1"/>
  <c r="BB8" i="1" s="1"/>
  <c r="BD8" i="1" s="1"/>
  <c r="AD37" i="1"/>
  <c r="AD36" i="1"/>
  <c r="AK36" i="1" s="1"/>
  <c r="AM36" i="1" s="1"/>
  <c r="AD35" i="1"/>
  <c r="AK35" i="1" s="1"/>
  <c r="AM35" i="1" s="1"/>
  <c r="AD34" i="1"/>
  <c r="AK34" i="1" s="1"/>
  <c r="AM34" i="1" s="1"/>
  <c r="AD33" i="1"/>
  <c r="AK33" i="1" s="1"/>
  <c r="AM33" i="1" s="1"/>
  <c r="AD32" i="1"/>
  <c r="AK32" i="1" s="1"/>
  <c r="AM32" i="1" s="1"/>
  <c r="AD31" i="1"/>
  <c r="AK31" i="1" s="1"/>
  <c r="AM31" i="1" s="1"/>
  <c r="AD30" i="1"/>
  <c r="AK30" i="1" s="1"/>
  <c r="AM30" i="1" s="1"/>
  <c r="AD29" i="1"/>
  <c r="AK29" i="1" s="1"/>
  <c r="AM29" i="1" s="1"/>
  <c r="AD28" i="1"/>
  <c r="AK28" i="1" s="1"/>
  <c r="AM28" i="1" s="1"/>
  <c r="AD27" i="1"/>
  <c r="AK27" i="1" s="1"/>
  <c r="AM27" i="1" s="1"/>
  <c r="AD26" i="1"/>
  <c r="AK26" i="1" s="1"/>
  <c r="AM26" i="1" s="1"/>
  <c r="AQ26" i="1" s="1"/>
  <c r="AD25" i="1"/>
  <c r="AK25" i="1" s="1"/>
  <c r="AM25" i="1" s="1"/>
  <c r="AD24" i="1"/>
  <c r="AK24" i="1" s="1"/>
  <c r="AM24" i="1" s="1"/>
  <c r="AD23" i="1"/>
  <c r="AK23" i="1" s="1"/>
  <c r="AM23" i="1" s="1"/>
  <c r="AD22" i="1"/>
  <c r="AK22" i="1" s="1"/>
  <c r="AM22" i="1" s="1"/>
  <c r="AD21" i="1"/>
  <c r="AK21" i="1" s="1"/>
  <c r="AM21" i="1" s="1"/>
  <c r="AD20" i="1"/>
  <c r="AK20" i="1" s="1"/>
  <c r="AM20" i="1" s="1"/>
  <c r="AD19" i="1"/>
  <c r="AK19" i="1" s="1"/>
  <c r="AM19" i="1" s="1"/>
  <c r="AD18" i="1"/>
  <c r="AK18" i="1" s="1"/>
  <c r="AM18" i="1" s="1"/>
  <c r="AD17" i="1"/>
  <c r="AK17" i="1" s="1"/>
  <c r="AM17" i="1" s="1"/>
  <c r="AD16" i="1"/>
  <c r="AK16" i="1" s="1"/>
  <c r="AM16" i="1" s="1"/>
  <c r="AD15" i="1"/>
  <c r="AK15" i="1" s="1"/>
  <c r="AM15" i="1" s="1"/>
  <c r="AD14" i="1"/>
  <c r="AK14" i="1" s="1"/>
  <c r="AM14" i="1" s="1"/>
  <c r="AQ14" i="1" s="1"/>
  <c r="AD13" i="1"/>
  <c r="AK13" i="1" s="1"/>
  <c r="AM13" i="1" s="1"/>
  <c r="AD12" i="1"/>
  <c r="AK12" i="1" s="1"/>
  <c r="AM12" i="1" s="1"/>
  <c r="AD11" i="1"/>
  <c r="AK11" i="1" s="1"/>
  <c r="AM11" i="1" s="1"/>
  <c r="AD10" i="1"/>
  <c r="AK10" i="1" s="1"/>
  <c r="AM10" i="1" s="1"/>
  <c r="AD9" i="1"/>
  <c r="AK9" i="1" s="1"/>
  <c r="AM9" i="1" s="1"/>
  <c r="AD8" i="1"/>
  <c r="AK8" i="1" s="1"/>
  <c r="AM8" i="1" s="1"/>
  <c r="M37" i="1"/>
  <c r="M36" i="1"/>
  <c r="T36" i="1" s="1"/>
  <c r="V36" i="1" s="1"/>
  <c r="M35" i="1"/>
  <c r="T35" i="1" s="1"/>
  <c r="V35" i="1" s="1"/>
  <c r="M34" i="1"/>
  <c r="T34" i="1" s="1"/>
  <c r="V34" i="1" s="1"/>
  <c r="Z34" i="1" s="1"/>
  <c r="M33" i="1"/>
  <c r="T33" i="1" s="1"/>
  <c r="V33" i="1" s="1"/>
  <c r="Z33" i="1" s="1"/>
  <c r="M32" i="1"/>
  <c r="T32" i="1" s="1"/>
  <c r="V32" i="1" s="1"/>
  <c r="M31" i="1"/>
  <c r="T31" i="1" s="1"/>
  <c r="V31" i="1" s="1"/>
  <c r="M30" i="1"/>
  <c r="T30" i="1" s="1"/>
  <c r="V30" i="1" s="1"/>
  <c r="M29" i="1"/>
  <c r="T29" i="1" s="1"/>
  <c r="V29" i="1" s="1"/>
  <c r="M28" i="1"/>
  <c r="T28" i="1" s="1"/>
  <c r="V28" i="1" s="1"/>
  <c r="M27" i="1"/>
  <c r="T27" i="1" s="1"/>
  <c r="V27" i="1" s="1"/>
  <c r="M26" i="1"/>
  <c r="T26" i="1" s="1"/>
  <c r="V26" i="1" s="1"/>
  <c r="M25" i="1"/>
  <c r="T25" i="1" s="1"/>
  <c r="V25" i="1" s="1"/>
  <c r="M24" i="1"/>
  <c r="T24" i="1" s="1"/>
  <c r="V24" i="1" s="1"/>
  <c r="M23" i="1"/>
  <c r="T23" i="1" s="1"/>
  <c r="V23" i="1" s="1"/>
  <c r="M22" i="1"/>
  <c r="T22" i="1" s="1"/>
  <c r="V22" i="1" s="1"/>
  <c r="M21" i="1"/>
  <c r="T21" i="1" s="1"/>
  <c r="V21" i="1" s="1"/>
  <c r="Z21" i="1" s="1"/>
  <c r="M20" i="1"/>
  <c r="T20" i="1" s="1"/>
  <c r="V20" i="1" s="1"/>
  <c r="M19" i="1"/>
  <c r="T19" i="1" s="1"/>
  <c r="V19" i="1" s="1"/>
  <c r="M18" i="1"/>
  <c r="T18" i="1" s="1"/>
  <c r="V18" i="1" s="1"/>
  <c r="M17" i="1"/>
  <c r="T17" i="1" s="1"/>
  <c r="V17" i="1" s="1"/>
  <c r="M16" i="1"/>
  <c r="T16" i="1" s="1"/>
  <c r="V16" i="1" s="1"/>
  <c r="M15" i="1"/>
  <c r="T15" i="1" s="1"/>
  <c r="V15" i="1" s="1"/>
  <c r="M14" i="1"/>
  <c r="T14" i="1" s="1"/>
  <c r="V14" i="1" s="1"/>
  <c r="M13" i="1"/>
  <c r="T13" i="1" s="1"/>
  <c r="V13" i="1" s="1"/>
  <c r="M12" i="1"/>
  <c r="T12" i="1" s="1"/>
  <c r="V12" i="1" s="1"/>
  <c r="M11" i="1"/>
  <c r="T11" i="1" s="1"/>
  <c r="V11" i="1" s="1"/>
  <c r="M10" i="1"/>
  <c r="T10" i="1" s="1"/>
  <c r="V10" i="1" s="1"/>
  <c r="M9" i="1"/>
  <c r="T9" i="1" s="1"/>
  <c r="V9" i="1" s="1"/>
  <c r="Z9" i="1" s="1"/>
  <c r="T8" i="1"/>
  <c r="V8" i="1" s="1"/>
  <c r="BF37" i="1"/>
  <c r="BF36" i="1"/>
  <c r="BF35" i="1"/>
  <c r="BF34" i="1"/>
  <c r="BF33" i="1"/>
  <c r="BF32" i="1"/>
  <c r="BG32" i="1" s="1"/>
  <c r="BF31" i="1"/>
  <c r="BG31" i="1" s="1"/>
  <c r="BF30" i="1"/>
  <c r="BG30" i="1" s="1"/>
  <c r="BF29" i="1"/>
  <c r="BG29" i="1" s="1"/>
  <c r="BF28" i="1"/>
  <c r="BG28" i="1" s="1"/>
  <c r="BF27" i="1"/>
  <c r="BF26" i="1"/>
  <c r="BF25" i="1"/>
  <c r="BF24" i="1"/>
  <c r="BF23" i="1"/>
  <c r="BF22" i="1"/>
  <c r="BF21" i="1"/>
  <c r="BF20" i="1"/>
  <c r="BG20" i="1" s="1"/>
  <c r="BF19" i="1"/>
  <c r="BG19" i="1" s="1"/>
  <c r="BF18" i="1"/>
  <c r="BG18" i="1" s="1"/>
  <c r="BF17" i="1"/>
  <c r="BG17" i="1" s="1"/>
  <c r="BF16" i="1"/>
  <c r="BG16" i="1" s="1"/>
  <c r="BF15" i="1"/>
  <c r="BF14" i="1"/>
  <c r="BF13" i="1"/>
  <c r="BF12" i="1"/>
  <c r="BF11" i="1"/>
  <c r="BF10" i="1"/>
  <c r="BF9" i="1"/>
  <c r="BF8" i="1"/>
  <c r="BF7" i="1"/>
  <c r="BH7" i="1" s="1"/>
  <c r="BE7" i="1"/>
  <c r="AY7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O37" i="1"/>
  <c r="AO36" i="1"/>
  <c r="AO35" i="1"/>
  <c r="AO34" i="1"/>
  <c r="AO33" i="1"/>
  <c r="AO32" i="1"/>
  <c r="AO31" i="1"/>
  <c r="AO30" i="1"/>
  <c r="AO29" i="1"/>
  <c r="AP29" i="1" s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N7" i="1" s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H40" i="1"/>
  <c r="H3" i="1" s="1"/>
  <c r="G40" i="1"/>
  <c r="F40" i="1"/>
  <c r="E40" i="1"/>
  <c r="C40" i="1"/>
  <c r="B40" i="1"/>
  <c r="B3" i="1" s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Y25" i="1" s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X7" i="1"/>
  <c r="Z7" i="1" s="1"/>
  <c r="S7" i="1"/>
  <c r="BH35" i="1" l="1"/>
  <c r="BH23" i="1"/>
  <c r="Z22" i="1"/>
  <c r="AP17" i="1"/>
  <c r="BH19" i="1"/>
  <c r="Y37" i="1"/>
  <c r="BH32" i="1"/>
  <c r="BH20" i="1"/>
  <c r="BI20" i="1" s="1"/>
  <c r="AQ36" i="1"/>
  <c r="Y36" i="1"/>
  <c r="Y35" i="1"/>
  <c r="AQ34" i="1"/>
  <c r="AR34" i="1" s="1"/>
  <c r="AQ33" i="1"/>
  <c r="BH31" i="1"/>
  <c r="Z31" i="1"/>
  <c r="AA31" i="1" s="1"/>
  <c r="BH30" i="1"/>
  <c r="BI30" i="1" s="1"/>
  <c r="Z30" i="1"/>
  <c r="Z28" i="1"/>
  <c r="AP28" i="1"/>
  <c r="BH27" i="1"/>
  <c r="BI27" i="1" s="1"/>
  <c r="Z27" i="1"/>
  <c r="AP27" i="1"/>
  <c r="AQ25" i="1"/>
  <c r="AR25" i="1" s="1"/>
  <c r="AQ24" i="1"/>
  <c r="Y24" i="1"/>
  <c r="Y23" i="1"/>
  <c r="AQ22" i="1"/>
  <c r="AQ21" i="1"/>
  <c r="AR21" i="1" s="1"/>
  <c r="Z19" i="1"/>
  <c r="BH18" i="1"/>
  <c r="BI18" i="1" s="1"/>
  <c r="Z18" i="1"/>
  <c r="AA18" i="1" s="1"/>
  <c r="AQ8" i="1"/>
  <c r="AR8" i="1" s="1"/>
  <c r="Z15" i="1"/>
  <c r="AA15" i="1" s="1"/>
  <c r="BH15" i="1"/>
  <c r="BI15" i="1" s="1"/>
  <c r="Z16" i="1"/>
  <c r="AA16" i="1" s="1"/>
  <c r="AP15" i="1"/>
  <c r="AQ12" i="1"/>
  <c r="AR12" i="1" s="1"/>
  <c r="AP16" i="1"/>
  <c r="AQ13" i="1"/>
  <c r="AR13" i="1" s="1"/>
  <c r="Z20" i="1"/>
  <c r="AA20" i="1" s="1"/>
  <c r="Y26" i="1"/>
  <c r="AQ15" i="1"/>
  <c r="AR15" i="1" s="1"/>
  <c r="AQ27" i="1"/>
  <c r="AR27" i="1" s="1"/>
  <c r="BH33" i="1"/>
  <c r="BI33" i="1" s="1"/>
  <c r="AQ28" i="1"/>
  <c r="AR28" i="1" s="1"/>
  <c r="BH34" i="1"/>
  <c r="BI34" i="1" s="1"/>
  <c r="Z35" i="1"/>
  <c r="AA35" i="1" s="1"/>
  <c r="AQ17" i="1"/>
  <c r="AR17" i="1" s="1"/>
  <c r="AQ29" i="1"/>
  <c r="AR29" i="1" s="1"/>
  <c r="AQ9" i="1"/>
  <c r="AR9" i="1" s="1"/>
  <c r="Z12" i="1"/>
  <c r="AA12" i="1" s="1"/>
  <c r="Z24" i="1"/>
  <c r="AA24" i="1" s="1"/>
  <c r="Z36" i="1"/>
  <c r="AA36" i="1" s="1"/>
  <c r="AQ18" i="1"/>
  <c r="AR18" i="1" s="1"/>
  <c r="AQ30" i="1"/>
  <c r="BH12" i="1"/>
  <c r="BI12" i="1" s="1"/>
  <c r="BH24" i="1"/>
  <c r="BI24" i="1" s="1"/>
  <c r="BH36" i="1"/>
  <c r="BI36" i="1" s="1"/>
  <c r="Z32" i="1"/>
  <c r="AA32" i="1" s="1"/>
  <c r="AQ16" i="1"/>
  <c r="AR16" i="1" s="1"/>
  <c r="BH22" i="1"/>
  <c r="Z23" i="1"/>
  <c r="AA23" i="1" s="1"/>
  <c r="AQ10" i="1"/>
  <c r="AR10" i="1" s="1"/>
  <c r="Z13" i="1"/>
  <c r="AA13" i="1" s="1"/>
  <c r="Z25" i="1"/>
  <c r="AA25" i="1" s="1"/>
  <c r="M3" i="1"/>
  <c r="T37" i="1"/>
  <c r="V37" i="1" s="1"/>
  <c r="Z37" i="1" s="1"/>
  <c r="AQ19" i="1"/>
  <c r="AQ31" i="1"/>
  <c r="AR31" i="1" s="1"/>
  <c r="BH13" i="1"/>
  <c r="BI13" i="1" s="1"/>
  <c r="BH25" i="1"/>
  <c r="BI25" i="1" s="1"/>
  <c r="AU3" i="1"/>
  <c r="BB37" i="1"/>
  <c r="BD37" i="1" s="1"/>
  <c r="BH37" i="1" s="1"/>
  <c r="AD3" i="1"/>
  <c r="AK37" i="1"/>
  <c r="AM37" i="1" s="1"/>
  <c r="AQ37" i="1" s="1"/>
  <c r="BH21" i="1"/>
  <c r="BI21" i="1" s="1"/>
  <c r="BH8" i="1"/>
  <c r="BI8" i="1" s="1"/>
  <c r="Z14" i="1"/>
  <c r="AA14" i="1" s="1"/>
  <c r="Z26" i="1"/>
  <c r="AA26" i="1" s="1"/>
  <c r="AQ20" i="1"/>
  <c r="AQ32" i="1"/>
  <c r="AR32" i="1" s="1"/>
  <c r="BH14" i="1"/>
  <c r="BI14" i="1" s="1"/>
  <c r="BH26" i="1"/>
  <c r="BI26" i="1" s="1"/>
  <c r="BH16" i="1"/>
  <c r="BI16" i="1" s="1"/>
  <c r="BH28" i="1"/>
  <c r="BI28" i="1" s="1"/>
  <c r="Y22" i="1"/>
  <c r="Y34" i="1"/>
  <c r="AP14" i="1"/>
  <c r="AP26" i="1"/>
  <c r="Z17" i="1"/>
  <c r="AA17" i="1" s="1"/>
  <c r="Z29" i="1"/>
  <c r="AA29" i="1" s="1"/>
  <c r="AQ23" i="1"/>
  <c r="AR23" i="1" s="1"/>
  <c r="AQ35" i="1"/>
  <c r="AR35" i="1" s="1"/>
  <c r="BH17" i="1"/>
  <c r="BI17" i="1" s="1"/>
  <c r="BH29" i="1"/>
  <c r="BI29" i="1" s="1"/>
  <c r="Y14" i="1"/>
  <c r="Y13" i="1"/>
  <c r="Y12" i="1"/>
  <c r="AQ11" i="1"/>
  <c r="AR11" i="1" s="1"/>
  <c r="W9" i="1"/>
  <c r="Z8" i="1"/>
  <c r="AA8" i="1" s="1"/>
  <c r="Z10" i="1"/>
  <c r="AA10" i="1" s="1"/>
  <c r="BH9" i="1"/>
  <c r="BI9" i="1" s="1"/>
  <c r="BH10" i="1"/>
  <c r="BI10" i="1" s="1"/>
  <c r="BH11" i="1"/>
  <c r="BI11" i="1" s="1"/>
  <c r="Y11" i="1"/>
  <c r="Z11" i="1"/>
  <c r="AA11" i="1" s="1"/>
  <c r="Y15" i="1"/>
  <c r="Y27" i="1"/>
  <c r="AP18" i="1"/>
  <c r="AP30" i="1"/>
  <c r="BG21" i="1"/>
  <c r="BG33" i="1"/>
  <c r="AP19" i="1"/>
  <c r="AP31" i="1"/>
  <c r="Y10" i="1"/>
  <c r="BG9" i="1"/>
  <c r="BG8" i="1"/>
  <c r="BG7" i="1"/>
  <c r="AP7" i="1"/>
  <c r="AP13" i="1"/>
  <c r="AP25" i="1"/>
  <c r="AP37" i="1"/>
  <c r="BG10" i="1"/>
  <c r="BG22" i="1"/>
  <c r="BG34" i="1"/>
  <c r="Y17" i="1"/>
  <c r="AP20" i="1"/>
  <c r="AP32" i="1"/>
  <c r="BG11" i="1"/>
  <c r="BG23" i="1"/>
  <c r="BG35" i="1"/>
  <c r="Y29" i="1"/>
  <c r="AP8" i="1"/>
  <c r="Y18" i="1"/>
  <c r="Y30" i="1"/>
  <c r="AP9" i="1"/>
  <c r="AP21" i="1"/>
  <c r="AP33" i="1"/>
  <c r="BG12" i="1"/>
  <c r="BG24" i="1"/>
  <c r="BG36" i="1"/>
  <c r="BG13" i="1"/>
  <c r="BG37" i="1"/>
  <c r="Y8" i="1"/>
  <c r="Y32" i="1"/>
  <c r="AP23" i="1"/>
  <c r="BG14" i="1"/>
  <c r="BG26" i="1"/>
  <c r="Y16" i="1"/>
  <c r="Y28" i="1"/>
  <c r="Y19" i="1"/>
  <c r="Y31" i="1"/>
  <c r="AP10" i="1"/>
  <c r="AP22" i="1"/>
  <c r="AP34" i="1"/>
  <c r="BG25" i="1"/>
  <c r="B6" i="2"/>
  <c r="A10" i="1"/>
  <c r="Y20" i="1"/>
  <c r="AP11" i="1"/>
  <c r="AP35" i="1"/>
  <c r="Y9" i="1"/>
  <c r="Y21" i="1"/>
  <c r="Y33" i="1"/>
  <c r="AP12" i="1"/>
  <c r="AP24" i="1"/>
  <c r="AP36" i="1"/>
  <c r="BG15" i="1"/>
  <c r="BG27" i="1"/>
  <c r="Y7" i="1"/>
  <c r="W7" i="1"/>
  <c r="Q3" i="1"/>
  <c r="AJ3" i="1"/>
  <c r="AH3" i="1"/>
  <c r="AO3" i="1"/>
  <c r="BF3" i="1"/>
  <c r="X3" i="1"/>
  <c r="S3" i="1"/>
  <c r="BA3" i="1"/>
  <c r="AY3" i="1"/>
  <c r="AA7" i="1"/>
  <c r="B49" i="1"/>
  <c r="F3" i="1"/>
  <c r="AA9" i="1"/>
  <c r="W17" i="1"/>
  <c r="W25" i="1"/>
  <c r="W33" i="1"/>
  <c r="AA33" i="1"/>
  <c r="AN11" i="1"/>
  <c r="AR19" i="1"/>
  <c r="AN19" i="1"/>
  <c r="AN27" i="1"/>
  <c r="AN35" i="1"/>
  <c r="BE13" i="1"/>
  <c r="BE21" i="1"/>
  <c r="BE29" i="1"/>
  <c r="C46" i="1"/>
  <c r="E3" i="1"/>
  <c r="W8" i="1"/>
  <c r="W16" i="1"/>
  <c r="W24" i="1"/>
  <c r="W32" i="1"/>
  <c r="AN10" i="1"/>
  <c r="AN18" i="1"/>
  <c r="AN26" i="1"/>
  <c r="AR26" i="1"/>
  <c r="AN34" i="1"/>
  <c r="BE12" i="1"/>
  <c r="BE20" i="1"/>
  <c r="BE28" i="1"/>
  <c r="BE36" i="1"/>
  <c r="B46" i="1"/>
  <c r="D3" i="1"/>
  <c r="W15" i="1"/>
  <c r="W23" i="1"/>
  <c r="W31" i="1"/>
  <c r="AN9" i="1"/>
  <c r="AN17" i="1"/>
  <c r="AN25" i="1"/>
  <c r="AN33" i="1"/>
  <c r="AR33" i="1"/>
  <c r="BE11" i="1"/>
  <c r="BE19" i="1"/>
  <c r="BI19" i="1"/>
  <c r="BE27" i="1"/>
  <c r="BI35" i="1"/>
  <c r="BE35" i="1"/>
  <c r="C43" i="1"/>
  <c r="C3" i="1"/>
  <c r="W14" i="1"/>
  <c r="W22" i="1"/>
  <c r="AA22" i="1"/>
  <c r="W30" i="1"/>
  <c r="AA30" i="1"/>
  <c r="AN8" i="1"/>
  <c r="AN16" i="1"/>
  <c r="AN24" i="1"/>
  <c r="AR24" i="1"/>
  <c r="AN32" i="1"/>
  <c r="BE10" i="1"/>
  <c r="BE18" i="1"/>
  <c r="BE26" i="1"/>
  <c r="BE34" i="1"/>
  <c r="W13" i="1"/>
  <c r="W21" i="1"/>
  <c r="AA21" i="1"/>
  <c r="W29" i="1"/>
  <c r="W37" i="1"/>
  <c r="T3" i="1"/>
  <c r="AN15" i="1"/>
  <c r="AN23" i="1"/>
  <c r="AN31" i="1"/>
  <c r="BE9" i="1"/>
  <c r="BE17" i="1"/>
  <c r="BE25" i="1"/>
  <c r="BE33" i="1"/>
  <c r="W12" i="1"/>
  <c r="W20" i="1"/>
  <c r="W28" i="1"/>
  <c r="AA28" i="1"/>
  <c r="W36" i="1"/>
  <c r="AN14" i="1"/>
  <c r="AR14" i="1"/>
  <c r="AN22" i="1"/>
  <c r="AR22" i="1"/>
  <c r="AN30" i="1"/>
  <c r="AR30" i="1"/>
  <c r="BE8" i="1"/>
  <c r="BE16" i="1"/>
  <c r="BE24" i="1"/>
  <c r="BE32" i="1"/>
  <c r="BI32" i="1"/>
  <c r="W11" i="1"/>
  <c r="W19" i="1"/>
  <c r="AA19" i="1"/>
  <c r="W27" i="1"/>
  <c r="AA27" i="1"/>
  <c r="W35" i="1"/>
  <c r="AN13" i="1"/>
  <c r="AN21" i="1"/>
  <c r="AN29" i="1"/>
  <c r="BE15" i="1"/>
  <c r="BE23" i="1"/>
  <c r="BI23" i="1"/>
  <c r="BE31" i="1"/>
  <c r="BI31" i="1"/>
  <c r="C49" i="1"/>
  <c r="G3" i="1"/>
  <c r="W10" i="1"/>
  <c r="W18" i="1"/>
  <c r="W26" i="1"/>
  <c r="AA34" i="1"/>
  <c r="W34" i="1"/>
  <c r="AN12" i="1"/>
  <c r="AR20" i="1"/>
  <c r="AN20" i="1"/>
  <c r="AN28" i="1"/>
  <c r="AN36" i="1"/>
  <c r="AR36" i="1"/>
  <c r="BE14" i="1"/>
  <c r="BI22" i="1"/>
  <c r="BE22" i="1"/>
  <c r="BE30" i="1"/>
  <c r="B41" i="1"/>
  <c r="D41" i="1"/>
  <c r="F41" i="1"/>
  <c r="B43" i="1"/>
  <c r="AN37" i="1" l="1"/>
  <c r="AK3" i="1"/>
  <c r="BE37" i="1"/>
  <c r="F46" i="1"/>
  <c r="AO2" i="1"/>
  <c r="N35" i="2" s="1"/>
  <c r="BF2" i="1"/>
  <c r="O35" i="2" s="1"/>
  <c r="B7" i="2"/>
  <c r="A11" i="1"/>
  <c r="F49" i="1"/>
  <c r="X2" i="1"/>
  <c r="M35" i="2" s="1"/>
  <c r="F43" i="1"/>
  <c r="BI7" i="1"/>
  <c r="BD3" i="1"/>
  <c r="BD2" i="1" s="1"/>
  <c r="BI37" i="1"/>
  <c r="BB3" i="1"/>
  <c r="AM3" i="1"/>
  <c r="AM2" i="1" s="1"/>
  <c r="V3" i="1"/>
  <c r="V2" i="1" s="1"/>
  <c r="AR7" i="1"/>
  <c r="D43" i="1"/>
  <c r="D49" i="1"/>
  <c r="D46" i="1"/>
  <c r="AA37" i="1"/>
  <c r="H42" i="1"/>
  <c r="H43" i="1" s="1"/>
  <c r="H45" i="1" s="1"/>
  <c r="H49" i="1" s="1"/>
  <c r="AR37" i="1"/>
  <c r="Z3" i="1" l="1"/>
  <c r="AA3" i="1" s="1"/>
  <c r="B8" i="2"/>
  <c r="A12" i="1"/>
  <c r="BH3" i="1"/>
  <c r="BI3" i="1" s="1"/>
  <c r="AQ3" i="1"/>
  <c r="AR3" i="1" s="1"/>
  <c r="A13" i="1" l="1"/>
  <c r="B9" i="2"/>
  <c r="A14" i="1" l="1"/>
  <c r="B10" i="2"/>
  <c r="A15" i="1" l="1"/>
  <c r="B11" i="2"/>
  <c r="A16" i="1" l="1"/>
  <c r="B12" i="2"/>
  <c r="A17" i="1" l="1"/>
  <c r="B13" i="2"/>
  <c r="A18" i="1" l="1"/>
  <c r="B14" i="2"/>
  <c r="A19" i="1" l="1"/>
  <c r="B15" i="2"/>
  <c r="A20" i="1" l="1"/>
  <c r="B16" i="2"/>
  <c r="A21" i="1" l="1"/>
  <c r="B17" i="2"/>
  <c r="A22" i="1" l="1"/>
  <c r="B18" i="2"/>
  <c r="A23" i="1" l="1"/>
  <c r="B19" i="2"/>
  <c r="A24" i="1" l="1"/>
  <c r="B20" i="2"/>
  <c r="A25" i="1" l="1"/>
  <c r="B21" i="2"/>
  <c r="A26" i="1" l="1"/>
  <c r="B22" i="2"/>
  <c r="A27" i="1" l="1"/>
  <c r="B23" i="2"/>
  <c r="A28" i="1" l="1"/>
  <c r="B24" i="2"/>
  <c r="A29" i="1" l="1"/>
  <c r="B25" i="2"/>
  <c r="A30" i="1" l="1"/>
  <c r="B26" i="2"/>
  <c r="A31" i="1" l="1"/>
  <c r="B27" i="2"/>
  <c r="A32" i="1" l="1"/>
  <c r="B28" i="2"/>
  <c r="A33" i="1" l="1"/>
  <c r="B29" i="2"/>
  <c r="A34" i="1" l="1"/>
  <c r="B30" i="2"/>
  <c r="A35" i="1" l="1"/>
  <c r="B31" i="2"/>
  <c r="A36" i="1" l="1"/>
  <c r="B32" i="2"/>
  <c r="A37" i="1" l="1"/>
  <c r="B34" i="2" s="1"/>
  <c r="B33" i="2"/>
</calcChain>
</file>

<file path=xl/sharedStrings.xml><?xml version="1.0" encoding="utf-8"?>
<sst xmlns="http://schemas.openxmlformats.org/spreadsheetml/2006/main" count="117" uniqueCount="47">
  <si>
    <t>P</t>
  </si>
  <si>
    <t>D</t>
  </si>
  <si>
    <t>M</t>
  </si>
  <si>
    <t>Dif.</t>
  </si>
  <si>
    <t>LTS</t>
  </si>
  <si>
    <t>ACEITES</t>
  </si>
  <si>
    <t>PRECIOS</t>
  </si>
  <si>
    <t>(-)</t>
  </si>
  <si>
    <t>E</t>
  </si>
  <si>
    <t>$</t>
  </si>
  <si>
    <t xml:space="preserve">P </t>
  </si>
  <si>
    <t>I.I</t>
  </si>
  <si>
    <t>C</t>
  </si>
  <si>
    <t>V</t>
  </si>
  <si>
    <t>I.F</t>
  </si>
  <si>
    <t>I.F.F</t>
  </si>
  <si>
    <t>+</t>
  </si>
  <si>
    <t>Total</t>
  </si>
  <si>
    <t>I</t>
  </si>
  <si>
    <t>E.E.</t>
  </si>
  <si>
    <t>E.R.</t>
  </si>
  <si>
    <t>Dif</t>
  </si>
  <si>
    <t>VENTA TOTAL</t>
  </si>
  <si>
    <t>e     To</t>
  </si>
  <si>
    <t>PROMEDIO X DIA</t>
  </si>
  <si>
    <t>PROYECTADO</t>
  </si>
  <si>
    <t>MES EJ.ANTERIOR</t>
  </si>
  <si>
    <t>DIFERENCIA</t>
  </si>
  <si>
    <t>Bruto</t>
  </si>
  <si>
    <t>CCT</t>
  </si>
  <si>
    <t>DC</t>
  </si>
  <si>
    <t>I.F.F.</t>
  </si>
  <si>
    <t>%</t>
  </si>
  <si>
    <t>E%</t>
  </si>
  <si>
    <t>ER</t>
  </si>
  <si>
    <t>ER%</t>
  </si>
  <si>
    <t>V.Dsc</t>
  </si>
  <si>
    <t>Dif V.Dsc</t>
  </si>
  <si>
    <t>fin</t>
  </si>
  <si>
    <t>eP</t>
  </si>
  <si>
    <t>eM</t>
  </si>
  <si>
    <t>eD</t>
  </si>
  <si>
    <t>Importe Total</t>
  </si>
  <si>
    <t>Precios</t>
  </si>
  <si>
    <t>%  Total</t>
  </si>
  <si>
    <t>ESTACIÓN</t>
  </si>
  <si>
    <t>HUESCA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</si>
</sst>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;[Red]\-&quot;$&quot;#,##0.00"/>
    <numFmt numFmtId="43" formatCode="_-* #,##0.00_-;\-* #,##0.00_-;_-* &quot;-&quot;??_-;_-@_-"/>
    <numFmt numFmtId="164" formatCode="0.0000%"/>
    <numFmt numFmtId="165" formatCode="0.0%"/>
    <numFmt numFmtId="166" formatCode="0_ ;[Red]\-0\ "/>
    <numFmt numFmtId="167" formatCode="0.00_ ;[Red]\-0.0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62"/>
      <name val="Arial"/>
      <family val="2"/>
    </font>
    <font>
      <sz val="10"/>
      <name val="Verdana"/>
      <family val="2"/>
    </font>
    <font>
      <u/>
      <sz val="7.5"/>
      <color indexed="12"/>
      <name val="Arial"/>
      <family val="2"/>
    </font>
    <font>
      <sz val="7.5"/>
      <name val="Arial"/>
      <family val="2"/>
    </font>
    <font>
      <b/>
      <sz val="12"/>
      <name val="Arial"/>
      <family val="2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14" fontId="5" fillId="3" borderId="0" xfId="0" applyNumberFormat="1" applyFont="1" applyFill="1" applyAlignment="1" applyProtection="1">
      <alignment horizontal="center"/>
      <protection hidden="1"/>
    </xf>
    <xf numFmtId="3" fontId="4" fillId="4" borderId="6" xfId="0" applyNumberFormat="1" applyFont="1" applyFill="1" applyBorder="1" applyAlignment="1" applyProtection="1">
      <alignment horizontal="center"/>
      <protection hidden="1"/>
    </xf>
    <xf numFmtId="3" fontId="8" fillId="4" borderId="1" xfId="0" applyNumberFormat="1" applyFont="1" applyFill="1" applyBorder="1" applyProtection="1">
      <protection hidden="1"/>
    </xf>
    <xf numFmtId="14" fontId="5" fillId="0" borderId="0" xfId="0" applyNumberFormat="1" applyFont="1" applyAlignment="1" applyProtection="1">
      <alignment horizontal="center"/>
      <protection hidden="1"/>
    </xf>
    <xf numFmtId="3" fontId="4" fillId="4" borderId="1" xfId="0" applyNumberFormat="1" applyFont="1" applyFill="1" applyBorder="1" applyAlignment="1" applyProtection="1">
      <alignment horizontal="center"/>
      <protection hidden="1"/>
    </xf>
    <xf numFmtId="43" fontId="5" fillId="0" borderId="0" xfId="1" applyFont="1" applyBorder="1" applyAlignment="1" applyProtection="1">
      <alignment horizontal="center"/>
      <protection hidden="1"/>
    </xf>
    <xf numFmtId="3" fontId="4" fillId="0" borderId="0" xfId="1" applyNumberFormat="1" applyFont="1" applyBorder="1" applyProtection="1">
      <protection hidden="1"/>
    </xf>
    <xf numFmtId="3" fontId="2" fillId="0" borderId="0" xfId="1" applyNumberFormat="1" applyFont="1" applyBorder="1" applyProtection="1">
      <protection hidden="1"/>
    </xf>
    <xf numFmtId="4" fontId="7" fillId="0" borderId="0" xfId="1" applyNumberFormat="1" applyFont="1" applyFill="1" applyBorder="1" applyProtection="1">
      <protection hidden="1"/>
    </xf>
    <xf numFmtId="0" fontId="0" fillId="0" borderId="0" xfId="0" applyProtection="1">
      <protection hidden="1"/>
    </xf>
    <xf numFmtId="3" fontId="0" fillId="0" borderId="0" xfId="0" applyNumberFormat="1" applyProtection="1">
      <protection hidden="1"/>
    </xf>
    <xf numFmtId="4" fontId="0" fillId="0" borderId="0" xfId="0" applyNumberFormat="1" applyProtection="1">
      <protection hidden="1"/>
    </xf>
    <xf numFmtId="0" fontId="10" fillId="3" borderId="0" xfId="3" applyFont="1" applyFill="1" applyAlignment="1" applyProtection="1">
      <protection hidden="1"/>
    </xf>
    <xf numFmtId="3" fontId="0" fillId="3" borderId="0" xfId="0" applyNumberFormat="1" applyFill="1" applyProtection="1">
      <protection hidden="1"/>
    </xf>
    <xf numFmtId="4" fontId="0" fillId="3" borderId="0" xfId="0" applyNumberFormat="1" applyFill="1" applyProtection="1">
      <protection hidden="1"/>
    </xf>
    <xf numFmtId="0" fontId="11" fillId="0" borderId="6" xfId="0" applyFont="1" applyBorder="1" applyAlignment="1" applyProtection="1">
      <alignment horizontal="center"/>
      <protection hidden="1"/>
    </xf>
    <xf numFmtId="3" fontId="0" fillId="0" borderId="6" xfId="0" applyNumberFormat="1" applyBorder="1" applyAlignment="1" applyProtection="1">
      <alignment horizontal="center"/>
      <protection hidden="1"/>
    </xf>
    <xf numFmtId="3" fontId="0" fillId="0" borderId="2" xfId="0" applyNumberFormat="1" applyBorder="1" applyAlignment="1" applyProtection="1">
      <alignment horizontal="center"/>
      <protection hidden="1"/>
    </xf>
    <xf numFmtId="3" fontId="0" fillId="0" borderId="2" xfId="0" applyNumberFormat="1" applyBorder="1" applyProtection="1">
      <protection hidden="1"/>
    </xf>
    <xf numFmtId="3" fontId="0" fillId="0" borderId="3" xfId="0" applyNumberFormat="1" applyBorder="1" applyProtection="1">
      <protection hidden="1"/>
    </xf>
    <xf numFmtId="3" fontId="0" fillId="0" borderId="6" xfId="0" applyNumberFormat="1" applyBorder="1" applyProtection="1">
      <protection hidden="1"/>
    </xf>
    <xf numFmtId="3" fontId="4" fillId="0" borderId="2" xfId="0" applyNumberFormat="1" applyFont="1" applyBorder="1" applyProtection="1">
      <protection hidden="1"/>
    </xf>
    <xf numFmtId="0" fontId="0" fillId="3" borderId="4" xfId="0" applyFill="1" applyBorder="1" applyProtection="1">
      <protection hidden="1"/>
    </xf>
    <xf numFmtId="4" fontId="0" fillId="3" borderId="4" xfId="0" applyNumberFormat="1" applyFill="1" applyBorder="1" applyProtection="1">
      <protection hidden="1"/>
    </xf>
    <xf numFmtId="164" fontId="0" fillId="3" borderId="0" xfId="0" applyNumberFormat="1" applyFill="1" applyProtection="1">
      <protection hidden="1"/>
    </xf>
    <xf numFmtId="10" fontId="0" fillId="3" borderId="5" xfId="0" applyNumberFormat="1" applyFill="1" applyBorder="1" applyProtection="1">
      <protection hidden="1"/>
    </xf>
    <xf numFmtId="3" fontId="0" fillId="3" borderId="4" xfId="0" applyNumberFormat="1" applyFill="1" applyBorder="1" applyProtection="1">
      <protection hidden="1"/>
    </xf>
    <xf numFmtId="3" fontId="0" fillId="3" borderId="0" xfId="0" applyNumberFormat="1" applyFill="1" applyAlignment="1" applyProtection="1">
      <alignment horizontal="right"/>
      <protection hidden="1"/>
    </xf>
    <xf numFmtId="3" fontId="0" fillId="3" borderId="5" xfId="0" applyNumberFormat="1" applyFill="1" applyBorder="1" applyProtection="1">
      <protection hidden="1"/>
    </xf>
    <xf numFmtId="3" fontId="4" fillId="3" borderId="0" xfId="0" applyNumberFormat="1" applyFont="1" applyFill="1" applyProtection="1">
      <protection hidden="1"/>
    </xf>
    <xf numFmtId="0" fontId="0" fillId="0" borderId="4" xfId="0" applyBorder="1" applyProtection="1">
      <protection hidden="1"/>
    </xf>
    <xf numFmtId="4" fontId="0" fillId="0" borderId="4" xfId="0" applyNumberFormat="1" applyBorder="1" applyProtection="1">
      <protection hidden="1"/>
    </xf>
    <xf numFmtId="10" fontId="0" fillId="0" borderId="5" xfId="0" applyNumberFormat="1" applyBorder="1" applyProtection="1">
      <protection hidden="1"/>
    </xf>
    <xf numFmtId="4" fontId="0" fillId="0" borderId="5" xfId="0" applyNumberFormat="1" applyBorder="1" applyProtection="1">
      <protection hidden="1"/>
    </xf>
    <xf numFmtId="0" fontId="11" fillId="0" borderId="4" xfId="0" applyFont="1" applyBorder="1" applyAlignment="1" applyProtection="1">
      <alignment horizontal="center"/>
      <protection hidden="1"/>
    </xf>
    <xf numFmtId="3" fontId="0" fillId="0" borderId="4" xfId="0" applyNumberFormat="1" applyBorder="1" applyAlignment="1" applyProtection="1">
      <alignment horizontal="center"/>
      <protection hidden="1"/>
    </xf>
    <xf numFmtId="3" fontId="0" fillId="0" borderId="0" xfId="0" applyNumberFormat="1" applyAlignment="1" applyProtection="1">
      <alignment horizontal="center"/>
      <protection hidden="1"/>
    </xf>
    <xf numFmtId="4" fontId="0" fillId="3" borderId="5" xfId="0" applyNumberFormat="1" applyFill="1" applyBorder="1" applyProtection="1">
      <protection hidden="1"/>
    </xf>
    <xf numFmtId="0" fontId="0" fillId="0" borderId="10" xfId="0" applyBorder="1" applyProtection="1">
      <protection hidden="1"/>
    </xf>
    <xf numFmtId="4" fontId="0" fillId="0" borderId="10" xfId="0" applyNumberFormat="1" applyBorder="1" applyProtection="1">
      <protection hidden="1"/>
    </xf>
    <xf numFmtId="4" fontId="0" fillId="0" borderId="8" xfId="0" applyNumberFormat="1" applyBorder="1" applyProtection="1">
      <protection hidden="1"/>
    </xf>
    <xf numFmtId="10" fontId="0" fillId="0" borderId="9" xfId="0" applyNumberFormat="1" applyBorder="1" applyProtection="1">
      <protection hidden="1"/>
    </xf>
    <xf numFmtId="4" fontId="0" fillId="0" borderId="9" xfId="0" applyNumberFormat="1" applyBorder="1" applyProtection="1">
      <protection hidden="1"/>
    </xf>
    <xf numFmtId="166" fontId="8" fillId="5" borderId="0" xfId="0" applyNumberFormat="1" applyFont="1" applyFill="1" applyProtection="1">
      <protection hidden="1"/>
    </xf>
    <xf numFmtId="166" fontId="4" fillId="0" borderId="0" xfId="0" applyNumberFormat="1" applyFont="1" applyProtection="1">
      <protection hidden="1"/>
    </xf>
    <xf numFmtId="166" fontId="0" fillId="5" borderId="0" xfId="0" applyNumberFormat="1" applyFill="1" applyAlignment="1" applyProtection="1">
      <alignment horizontal="center"/>
      <protection hidden="1"/>
    </xf>
    <xf numFmtId="166" fontId="0" fillId="5" borderId="0" xfId="0" applyNumberFormat="1" applyFill="1" applyProtection="1">
      <protection hidden="1"/>
    </xf>
    <xf numFmtId="165" fontId="4" fillId="0" borderId="0" xfId="2" applyNumberFormat="1" applyFont="1" applyFill="1" applyBorder="1" applyProtection="1"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4" fillId="2" borderId="0" xfId="0" applyFont="1" applyFill="1" applyAlignment="1" applyProtection="1">
      <alignment horizontal="center"/>
      <protection hidden="1"/>
    </xf>
    <xf numFmtId="4" fontId="4" fillId="3" borderId="0" xfId="0" applyNumberFormat="1" applyFont="1" applyFill="1" applyProtection="1">
      <protection hidden="1"/>
    </xf>
    <xf numFmtId="3" fontId="7" fillId="0" borderId="0" xfId="1" applyNumberFormat="1" applyFont="1" applyFill="1" applyBorder="1" applyProtection="1">
      <protection hidden="1"/>
    </xf>
    <xf numFmtId="3" fontId="2" fillId="0" borderId="0" xfId="1" applyNumberFormat="1" applyFont="1" applyFill="1" applyBorder="1" applyProtection="1">
      <protection hidden="1"/>
    </xf>
    <xf numFmtId="0" fontId="13" fillId="3" borderId="0" xfId="3" applyFont="1" applyFill="1" applyAlignment="1" applyProtection="1">
      <protection hidden="1"/>
    </xf>
    <xf numFmtId="3" fontId="12" fillId="3" borderId="0" xfId="0" applyNumberFormat="1" applyFont="1" applyFill="1" applyProtection="1">
      <protection hidden="1"/>
    </xf>
    <xf numFmtId="3" fontId="7" fillId="3" borderId="1" xfId="1" applyNumberFormat="1" applyFont="1" applyFill="1" applyBorder="1" applyProtection="1">
      <protection hidden="1"/>
    </xf>
    <xf numFmtId="2" fontId="7" fillId="3" borderId="1" xfId="1" applyNumberFormat="1" applyFont="1" applyFill="1" applyBorder="1" applyProtection="1">
      <protection hidden="1"/>
    </xf>
    <xf numFmtId="3" fontId="8" fillId="0" borderId="1" xfId="0" applyNumberFormat="1" applyFont="1" applyBorder="1" applyProtection="1">
      <protection hidden="1"/>
    </xf>
    <xf numFmtId="3" fontId="8" fillId="0" borderId="7" xfId="0" applyNumberFormat="1" applyFont="1" applyBorder="1" applyProtection="1">
      <protection hidden="1"/>
    </xf>
    <xf numFmtId="3" fontId="4" fillId="0" borderId="1" xfId="1" applyNumberFormat="1" applyFont="1" applyBorder="1" applyProtection="1">
      <protection hidden="1"/>
    </xf>
    <xf numFmtId="2" fontId="0" fillId="0" borderId="1" xfId="0" applyNumberFormat="1" applyBorder="1" applyProtection="1">
      <protection hidden="1"/>
    </xf>
    <xf numFmtId="2" fontId="7" fillId="0" borderId="1" xfId="1" applyNumberFormat="1" applyFont="1" applyFill="1" applyBorder="1" applyProtection="1">
      <protection hidden="1"/>
    </xf>
    <xf numFmtId="3" fontId="0" fillId="0" borderId="1" xfId="1" applyNumberFormat="1" applyFont="1" applyBorder="1" applyProtection="1">
      <protection hidden="1"/>
    </xf>
    <xf numFmtId="3" fontId="15" fillId="0" borderId="0" xfId="1" applyNumberFormat="1" applyFont="1" applyBorder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43" fontId="0" fillId="0" borderId="0" xfId="1" applyFont="1" applyProtection="1">
      <protection hidden="1"/>
    </xf>
    <xf numFmtId="43" fontId="16" fillId="0" borderId="5" xfId="1" applyFont="1" applyBorder="1" applyProtection="1">
      <protection hidden="1"/>
    </xf>
    <xf numFmtId="43" fontId="16" fillId="0" borderId="4" xfId="1" applyFont="1" applyBorder="1" applyProtection="1">
      <protection hidden="1"/>
    </xf>
    <xf numFmtId="43" fontId="16" fillId="0" borderId="0" xfId="1" applyFont="1" applyBorder="1" applyProtection="1">
      <protection hidden="1"/>
    </xf>
    <xf numFmtId="43" fontId="17" fillId="0" borderId="0" xfId="1" applyFont="1" applyProtection="1">
      <protection hidden="1"/>
    </xf>
    <xf numFmtId="43" fontId="12" fillId="0" borderId="10" xfId="1" applyFont="1" applyBorder="1" applyAlignment="1" applyProtection="1">
      <alignment horizontal="center"/>
      <protection hidden="1"/>
    </xf>
    <xf numFmtId="43" fontId="12" fillId="0" borderId="8" xfId="1" applyFont="1" applyBorder="1" applyAlignment="1" applyProtection="1">
      <alignment horizontal="center"/>
      <protection hidden="1"/>
    </xf>
    <xf numFmtId="43" fontId="12" fillId="0" borderId="9" xfId="1" applyFont="1" applyBorder="1" applyAlignment="1" applyProtection="1">
      <alignment horizontal="center"/>
      <protection hidden="1"/>
    </xf>
    <xf numFmtId="14" fontId="0" fillId="7" borderId="5" xfId="1" applyNumberFormat="1" applyFont="1" applyFill="1" applyBorder="1" applyAlignment="1" applyProtection="1">
      <alignment horizontal="center"/>
      <protection hidden="1"/>
    </xf>
    <xf numFmtId="43" fontId="0" fillId="7" borderId="4" xfId="1" applyFont="1" applyFill="1" applyBorder="1" applyProtection="1">
      <protection hidden="1"/>
    </xf>
    <xf numFmtId="43" fontId="0" fillId="7" borderId="0" xfId="1" applyFont="1" applyFill="1" applyBorder="1" applyProtection="1">
      <protection hidden="1"/>
    </xf>
    <xf numFmtId="43" fontId="0" fillId="7" borderId="5" xfId="1" applyFont="1" applyFill="1" applyBorder="1" applyProtection="1">
      <protection hidden="1"/>
    </xf>
    <xf numFmtId="14" fontId="0" fillId="0" borderId="5" xfId="1" applyNumberFormat="1" applyFont="1" applyBorder="1" applyAlignment="1" applyProtection="1">
      <alignment horizontal="center"/>
      <protection hidden="1"/>
    </xf>
    <xf numFmtId="43" fontId="0" fillId="0" borderId="4" xfId="1" applyFont="1" applyBorder="1" applyProtection="1">
      <protection hidden="1"/>
    </xf>
    <xf numFmtId="43" fontId="0" fillId="0" borderId="0" xfId="1" applyFont="1" applyBorder="1" applyProtection="1">
      <protection hidden="1"/>
    </xf>
    <xf numFmtId="43" fontId="0" fillId="0" borderId="5" xfId="1" applyFont="1" applyBorder="1" applyProtection="1">
      <protection hidden="1"/>
    </xf>
    <xf numFmtId="43" fontId="12" fillId="0" borderId="5" xfId="1" applyFont="1" applyBorder="1" applyProtection="1">
      <protection hidden="1"/>
    </xf>
    <xf numFmtId="43" fontId="12" fillId="0" borderId="4" xfId="1" applyFont="1" applyBorder="1" applyProtection="1">
      <protection hidden="1"/>
    </xf>
    <xf numFmtId="43" fontId="12" fillId="0" borderId="0" xfId="1" applyFont="1" applyBorder="1" applyProtection="1">
      <protection hidden="1"/>
    </xf>
    <xf numFmtId="165" fontId="0" fillId="7" borderId="4" xfId="2" applyNumberFormat="1" applyFont="1" applyFill="1" applyBorder="1" applyProtection="1">
      <protection hidden="1"/>
    </xf>
    <xf numFmtId="165" fontId="0" fillId="7" borderId="0" xfId="2" applyNumberFormat="1" applyFont="1" applyFill="1" applyBorder="1" applyProtection="1">
      <protection hidden="1"/>
    </xf>
    <xf numFmtId="165" fontId="0" fillId="7" borderId="5" xfId="2" applyNumberFormat="1" applyFont="1" applyFill="1" applyBorder="1" applyProtection="1">
      <protection hidden="1"/>
    </xf>
    <xf numFmtId="165" fontId="0" fillId="0" borderId="4" xfId="2" applyNumberFormat="1" applyFont="1" applyBorder="1" applyProtection="1">
      <protection hidden="1"/>
    </xf>
    <xf numFmtId="165" fontId="0" fillId="0" borderId="0" xfId="2" applyNumberFormat="1" applyFont="1" applyBorder="1" applyProtection="1">
      <protection hidden="1"/>
    </xf>
    <xf numFmtId="165" fontId="0" fillId="0" borderId="5" xfId="2" applyNumberFormat="1" applyFont="1" applyBorder="1" applyProtection="1">
      <protection hidden="1"/>
    </xf>
    <xf numFmtId="165" fontId="12" fillId="0" borderId="4" xfId="2" applyNumberFormat="1" applyFont="1" applyBorder="1" applyProtection="1">
      <protection hidden="1"/>
    </xf>
    <xf numFmtId="165" fontId="12" fillId="0" borderId="0" xfId="2" applyNumberFormat="1" applyFont="1" applyBorder="1" applyProtection="1">
      <protection hidden="1"/>
    </xf>
    <xf numFmtId="165" fontId="12" fillId="0" borderId="5" xfId="2" applyNumberFormat="1" applyFont="1" applyBorder="1" applyProtection="1">
      <protection hidden="1"/>
    </xf>
    <xf numFmtId="4" fontId="8" fillId="4" borderId="1" xfId="0" applyNumberFormat="1" applyFont="1" applyFill="1" applyBorder="1" applyProtection="1">
      <protection hidden="1"/>
    </xf>
    <xf numFmtId="167" fontId="0" fillId="5" borderId="0" xfId="0" applyNumberFormat="1" applyFill="1" applyProtection="1">
      <protection hidden="1"/>
    </xf>
    <xf numFmtId="167" fontId="8" fillId="6" borderId="0" xfId="2" applyNumberFormat="1" applyFont="1" applyFill="1" applyBorder="1" applyProtection="1">
      <protection hidden="1"/>
    </xf>
    <xf numFmtId="10" fontId="8" fillId="4" borderId="1" xfId="2" applyNumberFormat="1" applyFont="1" applyFill="1" applyBorder="1" applyProtection="1">
      <protection hidden="1"/>
    </xf>
    <xf numFmtId="10" fontId="8" fillId="4" borderId="1" xfId="2" applyNumberFormat="1" applyFont="1" applyFill="1" applyBorder="1" applyAlignment="1" applyProtection="1">
      <alignment horizontal="right"/>
      <protection hidden="1"/>
    </xf>
    <xf numFmtId="10" fontId="4" fillId="0" borderId="0" xfId="2" applyNumberFormat="1" applyFont="1" applyFill="1" applyBorder="1" applyProtection="1">
      <protection hidden="1"/>
    </xf>
    <xf numFmtId="10" fontId="8" fillId="6" borderId="0" xfId="2" applyNumberFormat="1" applyFont="1" applyFill="1" applyBorder="1" applyProtection="1">
      <protection hidden="1"/>
    </xf>
    <xf numFmtId="43" fontId="16" fillId="8" borderId="9" xfId="1" applyFont="1" applyFill="1" applyBorder="1" applyProtection="1">
      <protection hidden="1"/>
    </xf>
    <xf numFmtId="0" fontId="6" fillId="8" borderId="0" xfId="0" applyFont="1" applyFill="1" applyProtection="1">
      <protection locked="0" hidden="1"/>
    </xf>
    <xf numFmtId="17" fontId="14" fillId="8" borderId="0" xfId="0" applyNumberFormat="1" applyFont="1" applyFill="1" applyAlignment="1" applyProtection="1">
      <alignment horizontal="center"/>
      <protection locked="0" hidden="1"/>
    </xf>
    <xf numFmtId="3" fontId="2" fillId="0" borderId="1" xfId="0" applyNumberFormat="1" applyFont="1" applyBorder="1" applyAlignment="1" applyProtection="1">
      <alignment horizontal="center"/>
      <protection hidden="1"/>
    </xf>
    <xf numFmtId="3" fontId="2" fillId="0" borderId="1" xfId="1" applyNumberFormat="1" applyFont="1" applyBorder="1" applyProtection="1">
      <protection hidden="1"/>
    </xf>
    <xf numFmtId="8" fontId="0" fillId="0" borderId="0" xfId="0" applyNumberFormat="1" applyProtection="1">
      <protection hidden="1"/>
    </xf>
    <xf numFmtId="10" fontId="0" fillId="5" borderId="0" xfId="2" applyNumberFormat="1" applyFont="1" applyFill="1" applyProtection="1">
      <protection hidden="1"/>
    </xf>
    <xf numFmtId="10" fontId="5" fillId="0" borderId="0" xfId="2" applyNumberFormat="1" applyFont="1" applyAlignment="1" applyProtection="1">
      <alignment horizontal="center"/>
      <protection hidden="1"/>
    </xf>
    <xf numFmtId="10" fontId="0" fillId="0" borderId="0" xfId="2" applyNumberFormat="1" applyFont="1" applyProtection="1">
      <protection hidden="1"/>
    </xf>
    <xf numFmtId="10" fontId="8" fillId="5" borderId="0" xfId="2" applyNumberFormat="1" applyFont="1" applyFill="1" applyProtection="1">
      <protection hidden="1"/>
    </xf>
    <xf numFmtId="10" fontId="4" fillId="0" borderId="0" xfId="2" applyNumberFormat="1" applyFont="1" applyProtection="1">
      <protection hidden="1"/>
    </xf>
    <xf numFmtId="10" fontId="3" fillId="0" borderId="0" xfId="2" applyNumberFormat="1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4">
    <cellStyle name="Hipervínculo" xfId="3" builtinId="8"/>
    <cellStyle name="Millares" xfId="1" builtinId="3"/>
    <cellStyle name="Normal" xfId="0" builtinId="0"/>
    <cellStyle name="Porcentaje" xfId="2" builtinId="5"/>
  </cellStyles>
  <dxfs count="6">
    <dxf>
      <font>
        <condense val="0"/>
        <extend val="0"/>
        <color rgb="FF9C0006"/>
      </font>
    </dxf>
    <dxf>
      <font>
        <b/>
        <i val="0"/>
        <color rgb="FFFF0000"/>
      </font>
    </dxf>
    <dxf>
      <font>
        <color rgb="FFFF0000"/>
      </font>
    </dxf>
    <dxf>
      <font>
        <condense val="0"/>
        <extend val="0"/>
        <color rgb="FF9C0006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64034</xdr:colOff>
      <xdr:row>1</xdr:row>
      <xdr:rowOff>192101</xdr:rowOff>
    </xdr:from>
    <xdr:to>
      <xdr:col>3</xdr:col>
      <xdr:colOff>198504</xdr:colOff>
      <xdr:row>1</xdr:row>
      <xdr:rowOff>461043</xdr:rowOff>
    </xdr:to>
    <xdr:sp macro="[0]!Unlock_next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5748" y="377799"/>
          <a:ext cx="1165411" cy="268942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Sguiente</a:t>
          </a:r>
          <a:r>
            <a:rPr lang="es-MX" sz="1200" b="1" baseline="0">
              <a:solidFill>
                <a:schemeClr val="tx1"/>
              </a:solidFill>
            </a:rPr>
            <a:t> </a:t>
          </a:r>
          <a:r>
            <a:rPr lang="es-MX" sz="1200" b="1">
              <a:solidFill>
                <a:schemeClr val="tx1"/>
              </a:solidFill>
            </a:rPr>
            <a:t>Reg</a:t>
          </a:r>
        </a:p>
      </xdr:txBody>
    </xdr:sp>
    <xdr:clientData/>
  </xdr:twoCellAnchor>
  <xdr:twoCellAnchor>
    <xdr:from>
      <xdr:col>3</xdr:col>
      <xdr:colOff>312485</xdr:colOff>
      <xdr:row>1</xdr:row>
      <xdr:rowOff>190821</xdr:rowOff>
    </xdr:from>
    <xdr:to>
      <xdr:col>4</xdr:col>
      <xdr:colOff>446955</xdr:colOff>
      <xdr:row>1</xdr:row>
      <xdr:rowOff>459763</xdr:rowOff>
    </xdr:to>
    <xdr:sp macro="[0]!Reg_Correct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85140" y="376519"/>
          <a:ext cx="1165411" cy="268942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Corregir</a:t>
          </a:r>
          <a:r>
            <a:rPr lang="es-MX" sz="1200" b="1" baseline="0">
              <a:solidFill>
                <a:schemeClr val="tx1"/>
              </a:solidFill>
            </a:rPr>
            <a:t> </a:t>
          </a:r>
          <a:r>
            <a:rPr lang="es-MX" sz="1200" b="1">
              <a:solidFill>
                <a:schemeClr val="tx1"/>
              </a:solidFill>
            </a:rPr>
            <a:t>Reg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BJ52"/>
  <sheetViews>
    <sheetView showGridLines="0" tabSelected="1" zoomScale="115" zoomScaleNormal="70" workbookViewId="0">
      <pane ySplit="6" topLeftCell="A7" activePane="bottomLeft" state="frozenSplit"/>
      <selection pane="bottomLeft" activeCell="B7" sqref="B7"/>
    </sheetView>
  </sheetViews>
  <sheetFormatPr baseColWidth="10" defaultColWidth="11.42578125" defaultRowHeight="15" x14ac:dyDescent="0.25"/>
  <cols>
    <col min="1" max="1" width="12.5703125" style="10" bestFit="1" customWidth="1"/>
    <col min="2" max="8" width="14.5703125" style="10" customWidth="1"/>
    <col min="9" max="9" width="10.42578125" style="10" customWidth="1"/>
    <col min="10" max="11" width="9.5703125" style="10" customWidth="1"/>
    <col min="12" max="12" width="3.140625" style="10" bestFit="1" customWidth="1"/>
    <col min="13" max="27" width="8.85546875" style="10" customWidth="1"/>
    <col min="28" max="28" width="2.42578125" style="10" customWidth="1"/>
    <col min="29" max="29" width="3.140625" style="10" bestFit="1" customWidth="1"/>
    <col min="30" max="39" width="8.85546875" style="10" customWidth="1"/>
    <col min="40" max="40" width="8.85546875" style="113" customWidth="1"/>
    <col min="41" max="41" width="8.85546875" style="10" customWidth="1"/>
    <col min="42" max="42" width="8.85546875" style="113" customWidth="1"/>
    <col min="43" max="43" width="8.85546875" style="10" customWidth="1"/>
    <col min="44" max="44" width="8.85546875" style="113" customWidth="1"/>
    <col min="45" max="45" width="2.42578125" style="10" customWidth="1"/>
    <col min="46" max="46" width="3.140625" style="10" bestFit="1" customWidth="1"/>
    <col min="47" max="56" width="8.85546875" style="10" customWidth="1"/>
    <col min="57" max="57" width="8.85546875" style="113" customWidth="1"/>
    <col min="58" max="58" width="8.85546875" style="10" customWidth="1"/>
    <col min="59" max="59" width="8.85546875" style="113" customWidth="1"/>
    <col min="60" max="60" width="8.85546875" style="10" customWidth="1"/>
    <col min="61" max="61" width="8.85546875" style="113" customWidth="1"/>
    <col min="62" max="16384" width="11.42578125" style="10"/>
  </cols>
  <sheetData>
    <row r="2" spans="1:62" ht="50.45" customHeight="1" x14ac:dyDescent="0.25">
      <c r="A2" s="49"/>
      <c r="L2" s="45"/>
      <c r="M2" s="45"/>
      <c r="N2" s="45"/>
      <c r="O2" s="45"/>
      <c r="P2" s="45"/>
      <c r="Q2" s="45"/>
      <c r="R2" s="45"/>
      <c r="S2" s="45"/>
      <c r="T2" s="45"/>
      <c r="U2" s="45"/>
      <c r="V2" s="103">
        <f>V3/B41</f>
        <v>4.874630927510263E-2</v>
      </c>
      <c r="W2" s="103"/>
      <c r="X2" s="103">
        <f>X3/B41</f>
        <v>4.8779819626254411E-2</v>
      </c>
      <c r="Y2" s="48"/>
      <c r="Z2" s="45"/>
      <c r="AA2" s="45"/>
      <c r="AB2" s="11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103">
        <f>AM3/D41</f>
        <v>4.4795156097914075E-2</v>
      </c>
      <c r="AN2" s="103"/>
      <c r="AO2" s="103">
        <f>AO3/D41</f>
        <v>4.4832312331122906E-2</v>
      </c>
      <c r="AP2" s="103"/>
      <c r="AQ2" s="45"/>
      <c r="AR2" s="115"/>
      <c r="AS2" s="11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103">
        <f>BD3/F41</f>
        <v>2.0893967238996492E-2</v>
      </c>
      <c r="BE2" s="103"/>
      <c r="BF2" s="103">
        <f>BF3/F41</f>
        <v>2.2701037146206273E-2</v>
      </c>
      <c r="BG2" s="103"/>
      <c r="BH2" s="45"/>
      <c r="BI2" s="115"/>
    </row>
    <row r="3" spans="1:62" x14ac:dyDescent="0.25">
      <c r="A3" s="57"/>
      <c r="B3" s="58">
        <f t="shared" ref="B3:H3" si="0">B40</f>
        <v>116665.89000000001</v>
      </c>
      <c r="C3" s="58">
        <f t="shared" si="0"/>
        <v>5982.7800000000016</v>
      </c>
      <c r="D3" s="58">
        <f t="shared" si="0"/>
        <v>306682.06999999995</v>
      </c>
      <c r="E3" s="58">
        <f t="shared" si="0"/>
        <v>14394.61</v>
      </c>
      <c r="F3" s="58">
        <f t="shared" si="0"/>
        <v>59203.530000000013</v>
      </c>
      <c r="G3" s="58">
        <f t="shared" si="0"/>
        <v>1375.2000000000005</v>
      </c>
      <c r="H3" s="58">
        <f t="shared" si="0"/>
        <v>168759.35</v>
      </c>
      <c r="I3" s="15">
        <f>AVERAGE(I7:I37)</f>
        <v>26.933333333333326</v>
      </c>
      <c r="J3" s="15">
        <f>AVERAGE(J7:J37)</f>
        <v>23.990000000000006</v>
      </c>
      <c r="K3" s="15">
        <f>AVERAGE(K7:K37)</f>
        <v>27.223333333333322</v>
      </c>
      <c r="L3" s="46" t="s">
        <v>18</v>
      </c>
      <c r="M3" s="47">
        <f>M37</f>
        <v>0</v>
      </c>
      <c r="N3" s="44">
        <f t="shared" ref="N3:S3" si="1">SUM(N7:N37)</f>
        <v>122733</v>
      </c>
      <c r="O3" s="44">
        <f t="shared" si="1"/>
        <v>122518</v>
      </c>
      <c r="P3" s="44">
        <f t="shared" si="1"/>
        <v>0</v>
      </c>
      <c r="Q3" s="44">
        <f t="shared" si="1"/>
        <v>-215</v>
      </c>
      <c r="R3" s="44">
        <f t="shared" si="1"/>
        <v>-215</v>
      </c>
      <c r="S3" s="47">
        <f t="shared" si="1"/>
        <v>116665.89000000001</v>
      </c>
      <c r="T3" s="47">
        <f>T37</f>
        <v>0</v>
      </c>
      <c r="U3" s="47">
        <f>U37</f>
        <v>0</v>
      </c>
      <c r="V3" s="44">
        <f>SUM(V7:V37)</f>
        <v>5978.6700000000019</v>
      </c>
      <c r="W3" s="44"/>
      <c r="X3" s="44">
        <f>SUM(X7:X37)</f>
        <v>5982.7800000000016</v>
      </c>
      <c r="Y3" s="47"/>
      <c r="Z3" s="99">
        <f>SUM(Z7:Z37)</f>
        <v>-4.109999999998081</v>
      </c>
      <c r="AA3" s="100">
        <f>Z3/S3</f>
        <v>-3.5228805951748884E-5</v>
      </c>
      <c r="AB3" s="11"/>
      <c r="AC3" s="46" t="s">
        <v>18</v>
      </c>
      <c r="AD3" s="47">
        <f>AD37</f>
        <v>0</v>
      </c>
      <c r="AE3" s="44">
        <f t="shared" ref="AE3:AJ3" si="2">SUM(AE7:AE37)</f>
        <v>282307</v>
      </c>
      <c r="AF3" s="44">
        <f t="shared" si="2"/>
        <v>282254</v>
      </c>
      <c r="AG3" s="44">
        <f t="shared" si="2"/>
        <v>0</v>
      </c>
      <c r="AH3" s="44">
        <f t="shared" si="2"/>
        <v>-53</v>
      </c>
      <c r="AI3" s="44">
        <f t="shared" si="2"/>
        <v>-53</v>
      </c>
      <c r="AJ3" s="47">
        <f t="shared" si="2"/>
        <v>306682.06999999995</v>
      </c>
      <c r="AK3" s="47">
        <f>AK37</f>
        <v>0</v>
      </c>
      <c r="AL3" s="47">
        <f>AL37</f>
        <v>0</v>
      </c>
      <c r="AM3" s="44">
        <f>SUM(AM7:AM37)</f>
        <v>14382.680000000004</v>
      </c>
      <c r="AN3" s="114"/>
      <c r="AO3" s="44">
        <f>SUM(AO7:AO37)</f>
        <v>14394.61</v>
      </c>
      <c r="AP3" s="111"/>
      <c r="AQ3" s="47">
        <f>SUM(AQ7:AQ37)</f>
        <v>-11.929999999996056</v>
      </c>
      <c r="AR3" s="104">
        <f>AQ3/AJ3</f>
        <v>-3.8900220022631445E-5</v>
      </c>
      <c r="AS3" s="11"/>
      <c r="AT3" s="46" t="s">
        <v>18</v>
      </c>
      <c r="AU3" s="47">
        <f>AU37</f>
        <v>0</v>
      </c>
      <c r="AV3" s="44">
        <f t="shared" ref="AV3:BA3" si="3">SUM(AV7:AV37)</f>
        <v>57043</v>
      </c>
      <c r="AW3" s="44">
        <f t="shared" si="3"/>
        <v>57538</v>
      </c>
      <c r="AX3" s="44">
        <f t="shared" si="3"/>
        <v>0</v>
      </c>
      <c r="AY3" s="44">
        <f t="shared" si="3"/>
        <v>495</v>
      </c>
      <c r="AZ3" s="44">
        <f t="shared" si="3"/>
        <v>495</v>
      </c>
      <c r="BA3" s="47">
        <f t="shared" si="3"/>
        <v>59203.530000000013</v>
      </c>
      <c r="BB3" s="47">
        <f>BB37</f>
        <v>0</v>
      </c>
      <c r="BC3" s="47">
        <f>BC37</f>
        <v>0</v>
      </c>
      <c r="BD3" s="44">
        <f>SUM(BD7:BD37)</f>
        <v>1265.7300000000141</v>
      </c>
      <c r="BE3" s="114"/>
      <c r="BF3" s="44">
        <f>SUM(BF7:BF37)</f>
        <v>1375.2000000000005</v>
      </c>
      <c r="BG3" s="111"/>
      <c r="BH3" s="47">
        <f>SUM(BH7:BH37)</f>
        <v>-109.4699999999859</v>
      </c>
      <c r="BI3" s="104">
        <f>BH3/BA3</f>
        <v>-1.8490451498413335E-3</v>
      </c>
    </row>
    <row r="4" spans="1:62" x14ac:dyDescent="0.25">
      <c r="A4" s="106" t="s">
        <v>46</v>
      </c>
      <c r="M4" s="117" t="s">
        <v>0</v>
      </c>
      <c r="N4" s="118"/>
      <c r="O4" s="118"/>
      <c r="P4" s="118"/>
      <c r="Q4" s="118"/>
      <c r="R4" s="118"/>
      <c r="S4" s="118"/>
      <c r="T4" s="118"/>
      <c r="U4" s="50"/>
      <c r="V4" s="50"/>
      <c r="W4" s="50"/>
      <c r="X4" s="50"/>
      <c r="Y4" s="50"/>
      <c r="Z4" s="51" t="s">
        <v>1</v>
      </c>
      <c r="AA4" s="51" t="s">
        <v>1</v>
      </c>
      <c r="AD4" s="117" t="s">
        <v>2</v>
      </c>
      <c r="AE4" s="118"/>
      <c r="AF4" s="118"/>
      <c r="AG4" s="118"/>
      <c r="AH4" s="118"/>
      <c r="AI4" s="118"/>
      <c r="AJ4" s="118"/>
      <c r="AK4" s="118"/>
      <c r="AL4" s="50"/>
      <c r="AM4" s="50"/>
      <c r="AN4" s="112"/>
      <c r="AO4" s="50"/>
      <c r="AP4" s="112"/>
      <c r="AQ4" s="51" t="s">
        <v>1</v>
      </c>
      <c r="AR4" s="116" t="s">
        <v>1</v>
      </c>
      <c r="AU4" s="117" t="s">
        <v>1</v>
      </c>
      <c r="AV4" s="118"/>
      <c r="AW4" s="118"/>
      <c r="AX4" s="118"/>
      <c r="AY4" s="118"/>
      <c r="AZ4" s="69"/>
      <c r="BA4" s="50"/>
      <c r="BB4" s="51" t="s">
        <v>3</v>
      </c>
      <c r="BC4" s="12"/>
    </row>
    <row r="5" spans="1:62" x14ac:dyDescent="0.25">
      <c r="A5" s="107">
        <v>45597</v>
      </c>
      <c r="B5" s="69" t="s">
        <v>4</v>
      </c>
      <c r="C5" s="69"/>
      <c r="D5" s="69" t="s">
        <v>4</v>
      </c>
      <c r="E5" s="69"/>
      <c r="F5" s="69" t="s">
        <v>4</v>
      </c>
      <c r="G5" s="69"/>
      <c r="H5" s="68" t="s">
        <v>5</v>
      </c>
      <c r="I5" s="118" t="s">
        <v>6</v>
      </c>
      <c r="J5" s="118"/>
      <c r="K5" s="118"/>
      <c r="M5" s="69" t="s">
        <v>28</v>
      </c>
      <c r="T5" s="69"/>
      <c r="U5" s="50" t="s">
        <v>28</v>
      </c>
      <c r="V5" s="50"/>
      <c r="W5" s="50"/>
      <c r="X5" s="50"/>
      <c r="Y5" s="50"/>
      <c r="Z5" s="51" t="s">
        <v>7</v>
      </c>
      <c r="AA5" s="51" t="s">
        <v>7</v>
      </c>
      <c r="AD5" s="69" t="s">
        <v>28</v>
      </c>
      <c r="AK5" s="69"/>
      <c r="AL5" s="50" t="s">
        <v>28</v>
      </c>
      <c r="AM5" s="50"/>
      <c r="AN5" s="112"/>
      <c r="AO5" s="50"/>
      <c r="AP5" s="112"/>
      <c r="AQ5" s="51" t="s">
        <v>7</v>
      </c>
      <c r="AR5" s="116" t="s">
        <v>7</v>
      </c>
      <c r="AT5" s="69"/>
      <c r="AU5" s="10" t="s">
        <v>28</v>
      </c>
      <c r="BA5" s="69"/>
      <c r="BB5" s="50"/>
      <c r="BC5" s="50" t="s">
        <v>28</v>
      </c>
      <c r="BD5" s="50"/>
      <c r="BE5" s="112"/>
      <c r="BF5" s="51" t="s">
        <v>7</v>
      </c>
      <c r="BG5" s="116"/>
      <c r="BH5" s="51" t="s">
        <v>7</v>
      </c>
    </row>
    <row r="6" spans="1:62" x14ac:dyDescent="0.25">
      <c r="A6" s="52"/>
      <c r="B6" s="69">
        <v>1</v>
      </c>
      <c r="C6" s="69" t="s">
        <v>8</v>
      </c>
      <c r="D6" s="69">
        <v>2</v>
      </c>
      <c r="E6" s="69" t="s">
        <v>8</v>
      </c>
      <c r="F6" s="69">
        <v>3</v>
      </c>
      <c r="G6" s="69" t="s">
        <v>8</v>
      </c>
      <c r="H6" s="68" t="s">
        <v>9</v>
      </c>
      <c r="I6" s="69" t="s">
        <v>10</v>
      </c>
      <c r="J6" s="69" t="s">
        <v>2</v>
      </c>
      <c r="K6" s="69" t="s">
        <v>1</v>
      </c>
      <c r="M6" s="68" t="s">
        <v>11</v>
      </c>
      <c r="N6" s="53" t="s">
        <v>12</v>
      </c>
      <c r="O6" s="53" t="s">
        <v>29</v>
      </c>
      <c r="P6" s="53" t="s">
        <v>36</v>
      </c>
      <c r="Q6" s="53" t="s">
        <v>30</v>
      </c>
      <c r="R6" s="50" t="s">
        <v>37</v>
      </c>
      <c r="S6" s="68" t="s">
        <v>13</v>
      </c>
      <c r="T6" s="68" t="s">
        <v>14</v>
      </c>
      <c r="U6" s="50" t="s">
        <v>31</v>
      </c>
      <c r="V6" s="50" t="s">
        <v>34</v>
      </c>
      <c r="W6" s="50" t="s">
        <v>35</v>
      </c>
      <c r="X6" s="50" t="s">
        <v>8</v>
      </c>
      <c r="Y6" s="50" t="s">
        <v>33</v>
      </c>
      <c r="Z6" s="50" t="s">
        <v>16</v>
      </c>
      <c r="AA6" s="50" t="s">
        <v>32</v>
      </c>
      <c r="AD6" s="68" t="s">
        <v>11</v>
      </c>
      <c r="AE6" s="53" t="s">
        <v>12</v>
      </c>
      <c r="AF6" s="53" t="s">
        <v>29</v>
      </c>
      <c r="AG6" s="53" t="s">
        <v>36</v>
      </c>
      <c r="AH6" s="53" t="s">
        <v>30</v>
      </c>
      <c r="AI6" s="50" t="s">
        <v>37</v>
      </c>
      <c r="AJ6" s="68" t="s">
        <v>13</v>
      </c>
      <c r="AK6" s="68" t="s">
        <v>14</v>
      </c>
      <c r="AL6" s="50" t="s">
        <v>15</v>
      </c>
      <c r="AM6" s="50" t="s">
        <v>34</v>
      </c>
      <c r="AN6" s="112" t="s">
        <v>35</v>
      </c>
      <c r="AO6" s="50" t="s">
        <v>8</v>
      </c>
      <c r="AP6" s="112" t="s">
        <v>33</v>
      </c>
      <c r="AQ6" s="50" t="s">
        <v>16</v>
      </c>
      <c r="AR6" s="112" t="s">
        <v>32</v>
      </c>
      <c r="AU6" s="68" t="s">
        <v>11</v>
      </c>
      <c r="AV6" s="53" t="s">
        <v>12</v>
      </c>
      <c r="AW6" s="53" t="s">
        <v>29</v>
      </c>
      <c r="AX6" s="53" t="s">
        <v>36</v>
      </c>
      <c r="AY6" s="53" t="s">
        <v>30</v>
      </c>
      <c r="AZ6" s="50" t="s">
        <v>37</v>
      </c>
      <c r="BA6" s="68" t="s">
        <v>13</v>
      </c>
      <c r="BB6" s="68" t="s">
        <v>14</v>
      </c>
      <c r="BC6" s="50" t="s">
        <v>15</v>
      </c>
      <c r="BD6" s="50" t="s">
        <v>34</v>
      </c>
      <c r="BE6" s="112" t="s">
        <v>35</v>
      </c>
      <c r="BF6" s="50" t="s">
        <v>8</v>
      </c>
      <c r="BG6" s="112" t="s">
        <v>33</v>
      </c>
      <c r="BH6" s="50" t="s">
        <v>16</v>
      </c>
      <c r="BI6" s="112" t="s">
        <v>32</v>
      </c>
    </row>
    <row r="7" spans="1:62" x14ac:dyDescent="0.25">
      <c r="A7" s="1">
        <f>A5</f>
        <v>45597</v>
      </c>
      <c r="B7" s="59">
        <f>3565.09-C7</f>
        <v>3363.8900000000003</v>
      </c>
      <c r="C7" s="59">
        <v>201.2</v>
      </c>
      <c r="D7" s="59">
        <f>11754.71-E7</f>
        <v>11176.64</v>
      </c>
      <c r="E7" s="59">
        <v>578.07000000000005</v>
      </c>
      <c r="F7" s="59">
        <f>2176.22-G7</f>
        <v>2099.9399999999996</v>
      </c>
      <c r="G7" s="59">
        <v>76.28</v>
      </c>
      <c r="H7" s="59">
        <v>5186.01</v>
      </c>
      <c r="I7" s="60">
        <v>26.9</v>
      </c>
      <c r="J7" s="60">
        <v>23.99</v>
      </c>
      <c r="K7" s="60">
        <v>27.19</v>
      </c>
      <c r="L7" s="2">
        <v>1</v>
      </c>
      <c r="M7" s="108">
        <v>14946</v>
      </c>
      <c r="N7" s="61"/>
      <c r="O7" s="61"/>
      <c r="P7" s="61"/>
      <c r="Q7" s="3">
        <f>O7-N7</f>
        <v>0</v>
      </c>
      <c r="R7" s="3">
        <f>O7+P7-N7</f>
        <v>0</v>
      </c>
      <c r="S7" s="3">
        <f>B7</f>
        <v>3363.8900000000003</v>
      </c>
      <c r="T7" s="3">
        <f>M7+O7-(B7+C7)</f>
        <v>11380.91</v>
      </c>
      <c r="U7" s="61">
        <v>11582</v>
      </c>
      <c r="V7" s="98">
        <f>U7-T7</f>
        <v>201.09000000000015</v>
      </c>
      <c r="W7" s="102">
        <f>IFERROR(V7/(S7+C7),"0")</f>
        <v>5.640530814088849E-2</v>
      </c>
      <c r="X7" s="98">
        <f>C7</f>
        <v>201.2</v>
      </c>
      <c r="Y7" s="102">
        <f>IFERROR(X7/(S7+C7),"0")</f>
        <v>5.6436162901918316E-2</v>
      </c>
      <c r="Z7" s="98">
        <f>V7-X7</f>
        <v>-0.10999999999984311</v>
      </c>
      <c r="AA7" s="101">
        <f>IFERROR(Z7/S7,0)</f>
        <v>-3.2700236928033645E-5</v>
      </c>
      <c r="AB7" s="11"/>
      <c r="AC7" s="2">
        <v>1</v>
      </c>
      <c r="AD7" s="108">
        <v>53860</v>
      </c>
      <c r="AE7" s="62"/>
      <c r="AF7" s="61"/>
      <c r="AG7" s="61"/>
      <c r="AH7" s="3">
        <f>AF7-AE7</f>
        <v>0</v>
      </c>
      <c r="AI7" s="3">
        <f>AF7+AG7-AE7</f>
        <v>0</v>
      </c>
      <c r="AJ7" s="3">
        <f>D7</f>
        <v>11176.64</v>
      </c>
      <c r="AK7" s="3">
        <f>AD7+AF7-(D7+E7)</f>
        <v>42105.29</v>
      </c>
      <c r="AL7" s="61">
        <v>42683</v>
      </c>
      <c r="AM7" s="98">
        <f t="shared" ref="AM7:AM9" si="4">AL7-AK7</f>
        <v>577.70999999999913</v>
      </c>
      <c r="AN7" s="102">
        <f>IFERROR(AM7/(AJ7+E7),"0")</f>
        <v>4.9147107840176334E-2</v>
      </c>
      <c r="AO7" s="98">
        <f>E7</f>
        <v>578.07000000000005</v>
      </c>
      <c r="AP7" s="102">
        <f>IFERROR(AO7/(AJ7+E7),"0")</f>
        <v>4.9177733861575493E-2</v>
      </c>
      <c r="AQ7" s="98">
        <f>AM7-AO7</f>
        <v>-0.36000000000092314</v>
      </c>
      <c r="AR7" s="101">
        <f>IFERROR(AQ7/AJ7,0)</f>
        <v>-3.2210038079505395E-5</v>
      </c>
      <c r="AS7" s="11"/>
      <c r="AT7" s="2">
        <v>1</v>
      </c>
      <c r="AU7" s="108">
        <f>21684+20923</f>
        <v>42607</v>
      </c>
      <c r="AV7" s="62"/>
      <c r="AW7" s="61"/>
      <c r="AX7" s="61"/>
      <c r="AY7" s="3">
        <f>AW7-AV7</f>
        <v>0</v>
      </c>
      <c r="AZ7" s="3">
        <f>AW7+AX7-AV7</f>
        <v>0</v>
      </c>
      <c r="BA7" s="3">
        <f>F7</f>
        <v>2099.9399999999996</v>
      </c>
      <c r="BB7" s="3">
        <f>AU7+AW7-(F7+G7)</f>
        <v>40430.78</v>
      </c>
      <c r="BC7" s="61">
        <v>40507</v>
      </c>
      <c r="BD7" s="98">
        <f>BC7-BB7</f>
        <v>76.220000000001164</v>
      </c>
      <c r="BE7" s="102">
        <f>IFERROR(BD7/(BA7+G7),"0")</f>
        <v>3.5024032496715027E-2</v>
      </c>
      <c r="BF7" s="98">
        <f>G7</f>
        <v>76.28</v>
      </c>
      <c r="BG7" s="102">
        <f>IFERROR(BF7/(BA7+G7),"0")</f>
        <v>3.5051603238643154E-2</v>
      </c>
      <c r="BH7" s="98">
        <f>BD7-BF7</f>
        <v>-5.9999999998836984E-2</v>
      </c>
      <c r="BI7" s="101">
        <f>IFERROR(BH7/BA7,0)</f>
        <v>-2.8572244920729636E-5</v>
      </c>
      <c r="BJ7" s="11"/>
    </row>
    <row r="8" spans="1:62" x14ac:dyDescent="0.25">
      <c r="A8" s="4">
        <f>A7+1</f>
        <v>45598</v>
      </c>
      <c r="B8" s="109">
        <f>3161.71-C8</f>
        <v>2993.28</v>
      </c>
      <c r="C8" s="109">
        <v>168.43</v>
      </c>
      <c r="D8" s="109">
        <f>10174.48-E8</f>
        <v>9664.65</v>
      </c>
      <c r="E8" s="109">
        <v>509.83</v>
      </c>
      <c r="F8" s="109">
        <f>641.76-G8</f>
        <v>624.85</v>
      </c>
      <c r="G8" s="109">
        <v>16.91</v>
      </c>
      <c r="H8" s="110">
        <v>3188</v>
      </c>
      <c r="I8" s="64">
        <v>26.9</v>
      </c>
      <c r="J8" s="64">
        <v>23.99</v>
      </c>
      <c r="K8" s="64">
        <v>27.19</v>
      </c>
      <c r="L8" s="2">
        <v>2</v>
      </c>
      <c r="M8" s="5">
        <f>IF(U8=0,0,U7)</f>
        <v>11582</v>
      </c>
      <c r="N8" s="61"/>
      <c r="O8" s="61"/>
      <c r="P8" s="61"/>
      <c r="Q8" s="3">
        <f t="shared" ref="Q8:Q37" si="5">O8-N8</f>
        <v>0</v>
      </c>
      <c r="R8" s="3">
        <f t="shared" ref="R8:R37" si="6">O8+P8-N8</f>
        <v>0</v>
      </c>
      <c r="S8" s="3">
        <f t="shared" ref="S8:S37" si="7">B8</f>
        <v>2993.28</v>
      </c>
      <c r="T8" s="3">
        <f t="shared" ref="T8:T37" si="8">M8+O8-(B8+C8)</f>
        <v>8420.2900000000009</v>
      </c>
      <c r="U8" s="61">
        <v>8588</v>
      </c>
      <c r="V8" s="98">
        <f t="shared" ref="V8:V37" si="9">U8-T8</f>
        <v>167.70999999999913</v>
      </c>
      <c r="W8" s="102">
        <f t="shared" ref="W8:W37" si="10">IFERROR(V8/(S8+C8),"0")</f>
        <v>5.3044080576649701E-2</v>
      </c>
      <c r="X8" s="98">
        <f t="shared" ref="X8:X37" si="11">C8</f>
        <v>168.43</v>
      </c>
      <c r="Y8" s="102">
        <f t="shared" ref="Y8:Y37" si="12">IFERROR(X8/(S8+C8),"0")</f>
        <v>5.3271805447052387E-2</v>
      </c>
      <c r="Z8" s="98">
        <f t="shared" ref="Z8:Z37" si="13">V8-X8</f>
        <v>-0.72000000000087994</v>
      </c>
      <c r="AA8" s="101">
        <f t="shared" ref="AA8:AA37" si="14">IFERROR(Z8/S8,0)</f>
        <v>-2.4053880692781159E-4</v>
      </c>
      <c r="AB8" s="11"/>
      <c r="AC8" s="2">
        <v>2</v>
      </c>
      <c r="AD8" s="5">
        <f>IF(AL8=0,0,AL7)</f>
        <v>42683</v>
      </c>
      <c r="AE8" s="62"/>
      <c r="AF8" s="61"/>
      <c r="AG8" s="61"/>
      <c r="AH8" s="3">
        <f t="shared" ref="AH8:AH37" si="15">AF8-AE8</f>
        <v>0</v>
      </c>
      <c r="AI8" s="3">
        <f t="shared" ref="AI8:AI37" si="16">AF8+AG8-AE8</f>
        <v>0</v>
      </c>
      <c r="AJ8" s="3">
        <f t="shared" ref="AJ8:AJ37" si="17">D8</f>
        <v>9664.65</v>
      </c>
      <c r="AK8" s="3">
        <f t="shared" ref="AK8:AK37" si="18">AD8+AF8-(D8+E8)</f>
        <v>32508.52</v>
      </c>
      <c r="AL8" s="61">
        <v>33016</v>
      </c>
      <c r="AM8" s="98">
        <f t="shared" si="4"/>
        <v>507.47999999999956</v>
      </c>
      <c r="AN8" s="102">
        <f t="shared" ref="AN8:AN37" si="19">IFERROR(AM8/(AJ8+E8),"0")</f>
        <v>4.9877733309220677E-2</v>
      </c>
      <c r="AO8" s="98">
        <f t="shared" ref="AO8:AO37" si="20">E8</f>
        <v>509.83</v>
      </c>
      <c r="AP8" s="102">
        <f t="shared" ref="AP8:AP37" si="21">IFERROR(AO8/(AJ8+E8),"0")</f>
        <v>5.0108703344052964E-2</v>
      </c>
      <c r="AQ8" s="98">
        <f t="shared" ref="AQ8:AQ37" si="22">AM8-AO8</f>
        <v>-2.3500000000004206</v>
      </c>
      <c r="AR8" s="101">
        <f t="shared" ref="AR8:AR37" si="23">IFERROR(AQ8/AJ8,0)</f>
        <v>-2.4315417526764245E-4</v>
      </c>
      <c r="AS8" s="11"/>
      <c r="AT8" s="2">
        <v>2</v>
      </c>
      <c r="AU8" s="5">
        <f>IF(BC8=0,0,BC7)</f>
        <v>40507</v>
      </c>
      <c r="AV8" s="62"/>
      <c r="AW8" s="61"/>
      <c r="AX8" s="61"/>
      <c r="AY8" s="3">
        <f t="shared" ref="AY8:AY37" si="24">AW8-AV8</f>
        <v>0</v>
      </c>
      <c r="AZ8" s="3">
        <f t="shared" ref="AZ8:AZ37" si="25">AW8+AX8-AV8</f>
        <v>0</v>
      </c>
      <c r="BA8" s="3">
        <f t="shared" ref="BA8:BA37" si="26">F8</f>
        <v>624.85</v>
      </c>
      <c r="BB8" s="3">
        <f t="shared" ref="BB8:BB37" si="27">AU8+AW8-(F8+G8)</f>
        <v>39865.24</v>
      </c>
      <c r="BC8" s="61">
        <v>39882</v>
      </c>
      <c r="BD8" s="98">
        <f t="shared" ref="BD8:BD37" si="28">BC8-BB8</f>
        <v>16.760000000002037</v>
      </c>
      <c r="BE8" s="102">
        <f t="shared" ref="BE8:BE37" si="29">IFERROR(BD8/(BA8+G8),"0")</f>
        <v>2.6115681874847353E-2</v>
      </c>
      <c r="BF8" s="98">
        <f t="shared" ref="BF8:BF37" si="30">G8</f>
        <v>16.91</v>
      </c>
      <c r="BG8" s="102">
        <f t="shared" ref="BG8:BG37" si="31">IFERROR(BF8/(BA8+G8),"0")</f>
        <v>2.6349414111194215E-2</v>
      </c>
      <c r="BH8" s="98">
        <f t="shared" ref="BH8:BH37" si="32">BD8-BF8</f>
        <v>-0.14999999999796287</v>
      </c>
      <c r="BI8" s="101">
        <f t="shared" ref="BI8:BI37" si="33">IFERROR(BH8/BA8,0)</f>
        <v>-2.4005761382405838E-4</v>
      </c>
      <c r="BJ8" s="11"/>
    </row>
    <row r="9" spans="1:62" x14ac:dyDescent="0.25">
      <c r="A9" s="1">
        <f t="shared" ref="A9:A37" si="34">A8+1</f>
        <v>45599</v>
      </c>
      <c r="B9" s="59">
        <f>3918.07-C9</f>
        <v>3675.61</v>
      </c>
      <c r="C9" s="59">
        <v>242.46</v>
      </c>
      <c r="D9" s="59">
        <f>12109.01-E9</f>
        <v>11421.78</v>
      </c>
      <c r="E9" s="59">
        <v>687.23</v>
      </c>
      <c r="F9" s="59">
        <f>2805.9-G9</f>
        <v>2739.7200000000003</v>
      </c>
      <c r="G9" s="59">
        <v>66.180000000000007</v>
      </c>
      <c r="H9" s="59">
        <v>8295</v>
      </c>
      <c r="I9" s="60">
        <v>26.9</v>
      </c>
      <c r="J9" s="60">
        <v>23.99</v>
      </c>
      <c r="K9" s="60">
        <v>27.19</v>
      </c>
      <c r="L9" s="2">
        <v>3</v>
      </c>
      <c r="M9" s="5">
        <f t="shared" ref="M9:M37" si="35">IF(U9=0,0,U8)</f>
        <v>8588</v>
      </c>
      <c r="N9" s="61"/>
      <c r="O9" s="61"/>
      <c r="P9" s="61"/>
      <c r="Q9" s="3">
        <f t="shared" si="5"/>
        <v>0</v>
      </c>
      <c r="R9" s="3">
        <f t="shared" si="6"/>
        <v>0</v>
      </c>
      <c r="S9" s="3">
        <f t="shared" si="7"/>
        <v>3675.61</v>
      </c>
      <c r="T9" s="3">
        <f t="shared" si="8"/>
        <v>4669.93</v>
      </c>
      <c r="U9" s="61">
        <v>4912</v>
      </c>
      <c r="V9" s="98">
        <f t="shared" ref="V9" si="36">U9-T9</f>
        <v>242.06999999999971</v>
      </c>
      <c r="W9" s="102">
        <f t="shared" ref="W9" si="37">IFERROR(V9/(S9+C9),"0")</f>
        <v>6.1782969676396723E-2</v>
      </c>
      <c r="X9" s="98">
        <f t="shared" ref="X9" si="38">C9</f>
        <v>242.46</v>
      </c>
      <c r="Y9" s="102">
        <f t="shared" si="12"/>
        <v>6.1882508479940375E-2</v>
      </c>
      <c r="Z9" s="98">
        <f t="shared" si="13"/>
        <v>-0.390000000000299</v>
      </c>
      <c r="AA9" s="101">
        <f t="shared" si="14"/>
        <v>-1.0610483702033104E-4</v>
      </c>
      <c r="AB9" s="11"/>
      <c r="AC9" s="2">
        <v>3</v>
      </c>
      <c r="AD9" s="5">
        <f t="shared" ref="AD9:AD37" si="39">IF(AL9=0,0,AL8)</f>
        <v>33016</v>
      </c>
      <c r="AE9" s="62"/>
      <c r="AF9" s="61"/>
      <c r="AG9" s="61"/>
      <c r="AH9" s="3">
        <f t="shared" si="15"/>
        <v>0</v>
      </c>
      <c r="AI9" s="3">
        <f t="shared" si="16"/>
        <v>0</v>
      </c>
      <c r="AJ9" s="3">
        <f t="shared" si="17"/>
        <v>11421.78</v>
      </c>
      <c r="AK9" s="3">
        <f t="shared" si="18"/>
        <v>20906.989999999998</v>
      </c>
      <c r="AL9" s="61">
        <v>21593</v>
      </c>
      <c r="AM9" s="98">
        <f t="shared" si="4"/>
        <v>686.01000000000204</v>
      </c>
      <c r="AN9" s="102">
        <f t="shared" si="19"/>
        <v>5.6652856013827885E-2</v>
      </c>
      <c r="AO9" s="98">
        <f t="shared" si="20"/>
        <v>687.23</v>
      </c>
      <c r="AP9" s="102">
        <f t="shared" si="21"/>
        <v>5.6753607437767417E-2</v>
      </c>
      <c r="AQ9" s="98">
        <f t="shared" si="22"/>
        <v>-1.2199999999979809</v>
      </c>
      <c r="AR9" s="101">
        <f t="shared" si="23"/>
        <v>-1.0681347390669238E-4</v>
      </c>
      <c r="AS9" s="11"/>
      <c r="AT9" s="2">
        <v>3</v>
      </c>
      <c r="AU9" s="5">
        <f t="shared" ref="AU9:AU37" si="40">IF(BC9=0,0,BC8)</f>
        <v>39882</v>
      </c>
      <c r="AV9" s="62"/>
      <c r="AW9" s="61"/>
      <c r="AX9" s="61"/>
      <c r="AY9" s="3">
        <f t="shared" si="24"/>
        <v>0</v>
      </c>
      <c r="AZ9" s="3">
        <f t="shared" si="25"/>
        <v>0</v>
      </c>
      <c r="BA9" s="3">
        <f t="shared" si="26"/>
        <v>2739.7200000000003</v>
      </c>
      <c r="BB9" s="3">
        <f t="shared" si="27"/>
        <v>37076.1</v>
      </c>
      <c r="BC9" s="61">
        <v>37142</v>
      </c>
      <c r="BD9" s="98">
        <f t="shared" si="28"/>
        <v>65.900000000001455</v>
      </c>
      <c r="BE9" s="102">
        <f t="shared" si="29"/>
        <v>2.3486225453509195E-2</v>
      </c>
      <c r="BF9" s="98">
        <f t="shared" si="30"/>
        <v>66.180000000000007</v>
      </c>
      <c r="BG9" s="102">
        <f t="shared" si="31"/>
        <v>2.3586015182294452E-2</v>
      </c>
      <c r="BH9" s="98">
        <f t="shared" si="32"/>
        <v>-0.27999999999855163</v>
      </c>
      <c r="BI9" s="101">
        <f t="shared" si="33"/>
        <v>-1.0220022483996599E-4</v>
      </c>
      <c r="BJ9" s="11"/>
    </row>
    <row r="10" spans="1:62" x14ac:dyDescent="0.25">
      <c r="A10" s="4">
        <f t="shared" si="34"/>
        <v>45600</v>
      </c>
      <c r="B10" s="109">
        <f>3506.46-C10</f>
        <v>3343.5</v>
      </c>
      <c r="C10" s="109">
        <v>162.96</v>
      </c>
      <c r="D10" s="109">
        <f>10217.57-E10</f>
        <v>9828.61</v>
      </c>
      <c r="E10" s="109">
        <v>388.96</v>
      </c>
      <c r="F10" s="109">
        <f>2826.94-G10</f>
        <v>2754.79</v>
      </c>
      <c r="G10" s="109">
        <v>72.150000000000006</v>
      </c>
      <c r="H10" s="109">
        <v>7517.02</v>
      </c>
      <c r="I10" s="64">
        <v>26.9</v>
      </c>
      <c r="J10" s="64">
        <v>23.99</v>
      </c>
      <c r="K10" s="64">
        <v>27.19</v>
      </c>
      <c r="L10" s="2">
        <v>4</v>
      </c>
      <c r="M10" s="5">
        <f t="shared" si="35"/>
        <v>4912</v>
      </c>
      <c r="N10" s="61">
        <v>20703</v>
      </c>
      <c r="O10" s="61">
        <v>20741</v>
      </c>
      <c r="P10" s="61"/>
      <c r="Q10" s="3">
        <f t="shared" si="5"/>
        <v>38</v>
      </c>
      <c r="R10" s="3">
        <f t="shared" si="6"/>
        <v>38</v>
      </c>
      <c r="S10" s="3">
        <f t="shared" si="7"/>
        <v>3343.5</v>
      </c>
      <c r="T10" s="3">
        <f t="shared" si="8"/>
        <v>22146.54</v>
      </c>
      <c r="U10" s="61">
        <v>22308</v>
      </c>
      <c r="V10" s="98">
        <f t="shared" si="9"/>
        <v>161.45999999999913</v>
      </c>
      <c r="W10" s="102">
        <f t="shared" si="10"/>
        <v>4.6046439999315299E-2</v>
      </c>
      <c r="X10" s="98">
        <f t="shared" si="11"/>
        <v>162.96</v>
      </c>
      <c r="Y10" s="102">
        <f t="shared" si="12"/>
        <v>4.6474221864786711E-2</v>
      </c>
      <c r="Z10" s="98">
        <f t="shared" si="13"/>
        <v>-1.5000000000008811</v>
      </c>
      <c r="AA10" s="101">
        <f t="shared" si="14"/>
        <v>-4.4863167339640527E-4</v>
      </c>
      <c r="AB10" s="11"/>
      <c r="AC10" s="2">
        <v>4</v>
      </c>
      <c r="AD10" s="5">
        <f t="shared" si="39"/>
        <v>21593</v>
      </c>
      <c r="AE10" s="62">
        <v>20689</v>
      </c>
      <c r="AF10" s="61">
        <v>20703</v>
      </c>
      <c r="AG10" s="61"/>
      <c r="AH10" s="3">
        <f t="shared" si="15"/>
        <v>14</v>
      </c>
      <c r="AI10" s="3">
        <f t="shared" si="16"/>
        <v>14</v>
      </c>
      <c r="AJ10" s="3">
        <f t="shared" si="17"/>
        <v>9828.61</v>
      </c>
      <c r="AK10" s="3">
        <f t="shared" si="18"/>
        <v>32078.43</v>
      </c>
      <c r="AL10" s="61">
        <v>32463</v>
      </c>
      <c r="AM10" s="98">
        <f>AL10-AK10</f>
        <v>384.56999999999971</v>
      </c>
      <c r="AN10" s="102">
        <f t="shared" si="19"/>
        <v>3.7638107690967593E-2</v>
      </c>
      <c r="AO10" s="98">
        <f t="shared" si="20"/>
        <v>388.96</v>
      </c>
      <c r="AP10" s="102">
        <f t="shared" si="21"/>
        <v>3.8067759751095415E-2</v>
      </c>
      <c r="AQ10" s="98">
        <f t="shared" si="22"/>
        <v>-4.3900000000002706</v>
      </c>
      <c r="AR10" s="101">
        <f t="shared" si="23"/>
        <v>-4.4665522388214309E-4</v>
      </c>
      <c r="AS10" s="11"/>
      <c r="AT10" s="2">
        <v>4</v>
      </c>
      <c r="AU10" s="5">
        <f t="shared" si="40"/>
        <v>37142</v>
      </c>
      <c r="AV10" s="62"/>
      <c r="AW10" s="61"/>
      <c r="AX10" s="61"/>
      <c r="AY10" s="3">
        <f t="shared" si="24"/>
        <v>0</v>
      </c>
      <c r="AZ10" s="3">
        <f t="shared" si="25"/>
        <v>0</v>
      </c>
      <c r="BA10" s="3">
        <f t="shared" si="26"/>
        <v>2754.79</v>
      </c>
      <c r="BB10" s="3">
        <f t="shared" si="27"/>
        <v>34315.06</v>
      </c>
      <c r="BC10" s="61">
        <v>34386</v>
      </c>
      <c r="BD10" s="98">
        <f t="shared" si="28"/>
        <v>70.940000000002328</v>
      </c>
      <c r="BE10" s="102">
        <f t="shared" si="29"/>
        <v>2.5094271544497698E-2</v>
      </c>
      <c r="BF10" s="98">
        <f t="shared" si="30"/>
        <v>72.150000000000006</v>
      </c>
      <c r="BG10" s="102">
        <f t="shared" si="31"/>
        <v>2.5522296193056807E-2</v>
      </c>
      <c r="BH10" s="98">
        <f t="shared" si="32"/>
        <v>-1.2099999999976774</v>
      </c>
      <c r="BI10" s="101">
        <f t="shared" si="33"/>
        <v>-4.3923493260745008E-4</v>
      </c>
      <c r="BJ10" s="11"/>
    </row>
    <row r="11" spans="1:62" x14ac:dyDescent="0.25">
      <c r="A11" s="1">
        <f t="shared" si="34"/>
        <v>45601</v>
      </c>
      <c r="B11" s="59">
        <f>3698.23-C11</f>
        <v>3526.38</v>
      </c>
      <c r="C11" s="59">
        <v>171.85</v>
      </c>
      <c r="D11" s="59">
        <f>9707.13-E11</f>
        <v>9309.3399999999983</v>
      </c>
      <c r="E11" s="59">
        <v>397.79</v>
      </c>
      <c r="F11" s="59">
        <f>2394.4-G11</f>
        <v>2349.6</v>
      </c>
      <c r="G11" s="59">
        <v>44.8</v>
      </c>
      <c r="H11" s="59">
        <v>6701</v>
      </c>
      <c r="I11" s="60">
        <v>26.9</v>
      </c>
      <c r="J11" s="60">
        <v>23.99</v>
      </c>
      <c r="K11" s="60">
        <v>27.19</v>
      </c>
      <c r="L11" s="2">
        <v>5</v>
      </c>
      <c r="M11" s="5">
        <f t="shared" si="35"/>
        <v>22308</v>
      </c>
      <c r="N11" s="61"/>
      <c r="O11" s="61"/>
      <c r="P11" s="61"/>
      <c r="Q11" s="3">
        <f t="shared" si="5"/>
        <v>0</v>
      </c>
      <c r="R11" s="3">
        <f t="shared" si="6"/>
        <v>0</v>
      </c>
      <c r="S11" s="3">
        <f t="shared" si="7"/>
        <v>3526.38</v>
      </c>
      <c r="T11" s="3">
        <f t="shared" si="8"/>
        <v>18609.77</v>
      </c>
      <c r="U11" s="61">
        <v>18781</v>
      </c>
      <c r="V11" s="98">
        <f t="shared" si="9"/>
        <v>171.22999999999956</v>
      </c>
      <c r="W11" s="102">
        <f t="shared" si="10"/>
        <v>4.6300527549665529E-2</v>
      </c>
      <c r="X11" s="98">
        <f t="shared" si="11"/>
        <v>171.85</v>
      </c>
      <c r="Y11" s="102">
        <f t="shared" si="12"/>
        <v>4.6468175316299959E-2</v>
      </c>
      <c r="Z11" s="98">
        <f t="shared" si="13"/>
        <v>-0.62000000000043087</v>
      </c>
      <c r="AA11" s="101">
        <f t="shared" si="14"/>
        <v>-1.7581769406599143E-4</v>
      </c>
      <c r="AB11" s="11"/>
      <c r="AC11" s="2">
        <v>5</v>
      </c>
      <c r="AD11" s="5">
        <f t="shared" si="39"/>
        <v>32463</v>
      </c>
      <c r="AE11" s="62">
        <v>20665</v>
      </c>
      <c r="AF11" s="61">
        <v>20613</v>
      </c>
      <c r="AG11" s="61"/>
      <c r="AH11" s="3">
        <f t="shared" si="15"/>
        <v>-52</v>
      </c>
      <c r="AI11" s="3">
        <f t="shared" si="16"/>
        <v>-52</v>
      </c>
      <c r="AJ11" s="3">
        <f t="shared" si="17"/>
        <v>9309.3399999999983</v>
      </c>
      <c r="AK11" s="3">
        <f t="shared" si="18"/>
        <v>43368.87</v>
      </c>
      <c r="AL11" s="61">
        <v>43765</v>
      </c>
      <c r="AM11" s="98">
        <f t="shared" ref="AM11:AM37" si="41">AL11-AK11</f>
        <v>396.12999999999738</v>
      </c>
      <c r="AN11" s="102">
        <f t="shared" si="19"/>
        <v>4.0808148237429336E-2</v>
      </c>
      <c r="AO11" s="98">
        <f t="shared" si="20"/>
        <v>397.79</v>
      </c>
      <c r="AP11" s="102">
        <f t="shared" si="21"/>
        <v>4.0979156558117596E-2</v>
      </c>
      <c r="AQ11" s="98">
        <f t="shared" si="22"/>
        <v>-1.6600000000026398</v>
      </c>
      <c r="AR11" s="101">
        <f t="shared" si="23"/>
        <v>-1.7831554116646723E-4</v>
      </c>
      <c r="AS11" s="11"/>
      <c r="AT11" s="2">
        <v>5</v>
      </c>
      <c r="AU11" s="5">
        <f t="shared" si="40"/>
        <v>34386</v>
      </c>
      <c r="AV11" s="62"/>
      <c r="AW11" s="61"/>
      <c r="AX11" s="61"/>
      <c r="AY11" s="3">
        <f t="shared" si="24"/>
        <v>0</v>
      </c>
      <c r="AZ11" s="3">
        <f t="shared" si="25"/>
        <v>0</v>
      </c>
      <c r="BA11" s="3">
        <f t="shared" si="26"/>
        <v>2349.6</v>
      </c>
      <c r="BB11" s="3">
        <f t="shared" si="27"/>
        <v>31991.599999999999</v>
      </c>
      <c r="BC11" s="61">
        <v>32036</v>
      </c>
      <c r="BD11" s="98">
        <f t="shared" si="28"/>
        <v>44.400000000001455</v>
      </c>
      <c r="BE11" s="102">
        <f t="shared" si="29"/>
        <v>1.8543267624457675E-2</v>
      </c>
      <c r="BF11" s="98">
        <f t="shared" si="30"/>
        <v>44.8</v>
      </c>
      <c r="BG11" s="102">
        <f t="shared" si="31"/>
        <v>1.8710324089542263E-2</v>
      </c>
      <c r="BH11" s="98">
        <f t="shared" si="32"/>
        <v>-0.39999999999854197</v>
      </c>
      <c r="BI11" s="101">
        <f t="shared" si="33"/>
        <v>-1.7024174327483061E-4</v>
      </c>
      <c r="BJ11" s="11"/>
    </row>
    <row r="12" spans="1:62" x14ac:dyDescent="0.25">
      <c r="A12" s="4">
        <f t="shared" si="34"/>
        <v>45602</v>
      </c>
      <c r="B12" s="109">
        <f>3838.84-C12</f>
        <v>3789.1200000000003</v>
      </c>
      <c r="C12" s="109">
        <v>49.72</v>
      </c>
      <c r="D12" s="109">
        <f>11454.71-E12</f>
        <v>11252.339999999998</v>
      </c>
      <c r="E12" s="109">
        <v>202.37</v>
      </c>
      <c r="F12" s="109">
        <f>1406.33-G12</f>
        <v>1406.33</v>
      </c>
      <c r="G12" s="109">
        <v>0</v>
      </c>
      <c r="H12" s="109">
        <v>5024</v>
      </c>
      <c r="I12" s="65">
        <v>26.9</v>
      </c>
      <c r="J12" s="65">
        <v>23.99</v>
      </c>
      <c r="K12" s="65">
        <v>27.19</v>
      </c>
      <c r="L12" s="2">
        <v>6</v>
      </c>
      <c r="M12" s="5">
        <f t="shared" si="35"/>
        <v>18781</v>
      </c>
      <c r="N12" s="61"/>
      <c r="O12" s="61"/>
      <c r="P12" s="61"/>
      <c r="Q12" s="3">
        <f t="shared" si="5"/>
        <v>0</v>
      </c>
      <c r="R12" s="3">
        <f t="shared" si="6"/>
        <v>0</v>
      </c>
      <c r="S12" s="3">
        <f t="shared" si="7"/>
        <v>3789.1200000000003</v>
      </c>
      <c r="T12" s="3">
        <f t="shared" si="8"/>
        <v>14942.16</v>
      </c>
      <c r="U12" s="61">
        <v>14992</v>
      </c>
      <c r="V12" s="98">
        <f t="shared" si="9"/>
        <v>49.840000000000146</v>
      </c>
      <c r="W12" s="102">
        <f t="shared" si="10"/>
        <v>1.2983088641360448E-2</v>
      </c>
      <c r="X12" s="98">
        <f t="shared" si="11"/>
        <v>49.72</v>
      </c>
      <c r="Y12" s="102">
        <f t="shared" si="12"/>
        <v>1.2951829198403684E-2</v>
      </c>
      <c r="Z12" s="98">
        <f t="shared" si="13"/>
        <v>0.12000000000014666</v>
      </c>
      <c r="AA12" s="101">
        <f t="shared" si="14"/>
        <v>3.1669622498138524E-5</v>
      </c>
      <c r="AB12" s="11"/>
      <c r="AC12" s="2">
        <v>6</v>
      </c>
      <c r="AD12" s="5">
        <f t="shared" si="39"/>
        <v>43765</v>
      </c>
      <c r="AE12" s="62"/>
      <c r="AF12" s="61"/>
      <c r="AG12" s="61"/>
      <c r="AH12" s="3">
        <f t="shared" si="15"/>
        <v>0</v>
      </c>
      <c r="AI12" s="3">
        <f t="shared" si="16"/>
        <v>0</v>
      </c>
      <c r="AJ12" s="3">
        <f t="shared" si="17"/>
        <v>11252.339999999998</v>
      </c>
      <c r="AK12" s="3">
        <f t="shared" si="18"/>
        <v>32310.29</v>
      </c>
      <c r="AL12" s="61">
        <v>32513</v>
      </c>
      <c r="AM12" s="98">
        <f t="shared" si="41"/>
        <v>202.70999999999913</v>
      </c>
      <c r="AN12" s="102">
        <f t="shared" si="19"/>
        <v>1.7696650548115068E-2</v>
      </c>
      <c r="AO12" s="98">
        <f t="shared" si="20"/>
        <v>202.37</v>
      </c>
      <c r="AP12" s="102">
        <f t="shared" si="21"/>
        <v>1.7666968434818516E-2</v>
      </c>
      <c r="AQ12" s="98">
        <f t="shared" si="22"/>
        <v>0.33999999999912234</v>
      </c>
      <c r="AR12" s="101">
        <f t="shared" si="23"/>
        <v>3.0215937307184319E-5</v>
      </c>
      <c r="AS12" s="11"/>
      <c r="AT12" s="2">
        <v>6</v>
      </c>
      <c r="AU12" s="5">
        <f t="shared" si="40"/>
        <v>32036</v>
      </c>
      <c r="AV12" s="62"/>
      <c r="AW12" s="61"/>
      <c r="AX12" s="61"/>
      <c r="AY12" s="3">
        <f t="shared" si="24"/>
        <v>0</v>
      </c>
      <c r="AZ12" s="3">
        <f t="shared" si="25"/>
        <v>0</v>
      </c>
      <c r="BA12" s="3">
        <f t="shared" si="26"/>
        <v>1406.33</v>
      </c>
      <c r="BB12" s="3">
        <f t="shared" si="27"/>
        <v>30629.67</v>
      </c>
      <c r="BC12" s="61">
        <v>30628</v>
      </c>
      <c r="BD12" s="98">
        <f t="shared" si="28"/>
        <v>-1.6699999999982538</v>
      </c>
      <c r="BE12" s="102">
        <f t="shared" si="29"/>
        <v>-1.1874880006813862E-3</v>
      </c>
      <c r="BF12" s="98">
        <f t="shared" si="30"/>
        <v>0</v>
      </c>
      <c r="BG12" s="102">
        <f t="shared" si="31"/>
        <v>0</v>
      </c>
      <c r="BH12" s="98">
        <f t="shared" si="32"/>
        <v>-1.6699999999982538</v>
      </c>
      <c r="BI12" s="101">
        <f t="shared" si="33"/>
        <v>-1.1874880006813862E-3</v>
      </c>
      <c r="BJ12" s="11"/>
    </row>
    <row r="13" spans="1:62" x14ac:dyDescent="0.25">
      <c r="A13" s="1">
        <f t="shared" si="34"/>
        <v>45603</v>
      </c>
      <c r="B13" s="59">
        <f>4213.12-C13</f>
        <v>4019.0299999999997</v>
      </c>
      <c r="C13" s="59">
        <v>194.09</v>
      </c>
      <c r="D13" s="59">
        <f>11307.88-E13</f>
        <v>10781.39</v>
      </c>
      <c r="E13" s="59">
        <v>526.49</v>
      </c>
      <c r="F13" s="59">
        <f>3133.81-G13</f>
        <v>3073.2799999999997</v>
      </c>
      <c r="G13" s="59">
        <v>60.53</v>
      </c>
      <c r="H13" s="59">
        <v>7817</v>
      </c>
      <c r="I13" s="60">
        <v>26.9</v>
      </c>
      <c r="J13" s="60">
        <v>23.99</v>
      </c>
      <c r="K13" s="60">
        <v>27.19</v>
      </c>
      <c r="L13" s="2">
        <v>7</v>
      </c>
      <c r="M13" s="5">
        <f t="shared" si="35"/>
        <v>14992</v>
      </c>
      <c r="N13" s="61"/>
      <c r="O13" s="61"/>
      <c r="P13" s="61"/>
      <c r="Q13" s="3">
        <f t="shared" si="5"/>
        <v>0</v>
      </c>
      <c r="R13" s="3">
        <f t="shared" si="6"/>
        <v>0</v>
      </c>
      <c r="S13" s="3">
        <f t="shared" si="7"/>
        <v>4019.0299999999997</v>
      </c>
      <c r="T13" s="3">
        <f t="shared" si="8"/>
        <v>10778.880000000001</v>
      </c>
      <c r="U13" s="61">
        <v>10972</v>
      </c>
      <c r="V13" s="98">
        <f t="shared" si="9"/>
        <v>193.11999999999898</v>
      </c>
      <c r="W13" s="102">
        <f t="shared" si="10"/>
        <v>4.5837763937414309E-2</v>
      </c>
      <c r="X13" s="98">
        <f t="shared" si="11"/>
        <v>194.09</v>
      </c>
      <c r="Y13" s="102">
        <f t="shared" si="12"/>
        <v>4.6067997113777917E-2</v>
      </c>
      <c r="Z13" s="98">
        <f t="shared" si="13"/>
        <v>-0.97000000000102204</v>
      </c>
      <c r="AA13" s="101">
        <f t="shared" si="14"/>
        <v>-2.4135176895943104E-4</v>
      </c>
      <c r="AB13" s="11"/>
      <c r="AC13" s="2">
        <v>7</v>
      </c>
      <c r="AD13" s="5">
        <f t="shared" si="39"/>
        <v>32513</v>
      </c>
      <c r="AE13" s="62"/>
      <c r="AF13" s="61"/>
      <c r="AG13" s="61"/>
      <c r="AH13" s="3">
        <f t="shared" si="15"/>
        <v>0</v>
      </c>
      <c r="AI13" s="3">
        <f t="shared" si="16"/>
        <v>0</v>
      </c>
      <c r="AJ13" s="3">
        <f t="shared" si="17"/>
        <v>10781.39</v>
      </c>
      <c r="AK13" s="3">
        <f t="shared" si="18"/>
        <v>21205.120000000003</v>
      </c>
      <c r="AL13" s="61">
        <v>21729</v>
      </c>
      <c r="AM13" s="98">
        <f t="shared" si="41"/>
        <v>523.87999999999738</v>
      </c>
      <c r="AN13" s="102">
        <f t="shared" si="19"/>
        <v>4.632875481522597E-2</v>
      </c>
      <c r="AO13" s="98">
        <f t="shared" si="20"/>
        <v>526.49</v>
      </c>
      <c r="AP13" s="102">
        <f t="shared" si="21"/>
        <v>4.6559567310583423E-2</v>
      </c>
      <c r="AQ13" s="98">
        <f t="shared" si="22"/>
        <v>-2.6100000000026284</v>
      </c>
      <c r="AR13" s="101">
        <f t="shared" si="23"/>
        <v>-2.4208381294087576E-4</v>
      </c>
      <c r="AS13" s="11"/>
      <c r="AT13" s="2">
        <v>7</v>
      </c>
      <c r="AU13" s="5">
        <f t="shared" si="40"/>
        <v>30628</v>
      </c>
      <c r="AV13" s="62"/>
      <c r="AW13" s="61"/>
      <c r="AX13" s="61"/>
      <c r="AY13" s="3">
        <f t="shared" si="24"/>
        <v>0</v>
      </c>
      <c r="AZ13" s="3">
        <f t="shared" si="25"/>
        <v>0</v>
      </c>
      <c r="BA13" s="3">
        <f t="shared" si="26"/>
        <v>3073.2799999999997</v>
      </c>
      <c r="BB13" s="3">
        <f t="shared" si="27"/>
        <v>27494.19</v>
      </c>
      <c r="BC13" s="61">
        <v>27554</v>
      </c>
      <c r="BD13" s="98">
        <f t="shared" si="28"/>
        <v>59.81000000000131</v>
      </c>
      <c r="BE13" s="102">
        <f t="shared" si="29"/>
        <v>1.9085394455950203E-2</v>
      </c>
      <c r="BF13" s="98">
        <f t="shared" si="30"/>
        <v>60.53</v>
      </c>
      <c r="BG13" s="102">
        <f t="shared" si="31"/>
        <v>1.9315146738315341E-2</v>
      </c>
      <c r="BH13" s="98">
        <f t="shared" si="32"/>
        <v>-0.71999999999869146</v>
      </c>
      <c r="BI13" s="101">
        <f t="shared" si="33"/>
        <v>-2.3427738442273127E-4</v>
      </c>
      <c r="BJ13" s="11"/>
    </row>
    <row r="14" spans="1:62" x14ac:dyDescent="0.25">
      <c r="A14" s="4">
        <f t="shared" si="34"/>
        <v>45604</v>
      </c>
      <c r="B14" s="109">
        <f>4413.15-C14</f>
        <v>4157.33</v>
      </c>
      <c r="C14" s="109">
        <v>255.82</v>
      </c>
      <c r="D14" s="109">
        <f>11567.81-E14</f>
        <v>10858.46</v>
      </c>
      <c r="E14" s="109">
        <v>709.35</v>
      </c>
      <c r="F14" s="109">
        <f>592.15-G14</f>
        <v>570.17999999999995</v>
      </c>
      <c r="G14" s="109">
        <v>21.97</v>
      </c>
      <c r="H14" s="109">
        <v>4980</v>
      </c>
      <c r="I14" s="65">
        <v>26.9</v>
      </c>
      <c r="J14" s="65">
        <v>23.99</v>
      </c>
      <c r="K14" s="65">
        <v>27.19</v>
      </c>
      <c r="L14" s="2">
        <v>8</v>
      </c>
      <c r="M14" s="5">
        <f t="shared" si="35"/>
        <v>10972</v>
      </c>
      <c r="N14" s="61"/>
      <c r="O14" s="61"/>
      <c r="P14" s="61"/>
      <c r="Q14" s="3">
        <f t="shared" si="5"/>
        <v>0</v>
      </c>
      <c r="R14" s="3">
        <f t="shared" si="6"/>
        <v>0</v>
      </c>
      <c r="S14" s="3">
        <f t="shared" si="7"/>
        <v>4157.33</v>
      </c>
      <c r="T14" s="3">
        <f t="shared" si="8"/>
        <v>6558.85</v>
      </c>
      <c r="U14" s="61">
        <v>6816</v>
      </c>
      <c r="V14" s="98">
        <f t="shared" si="9"/>
        <v>257.14999999999964</v>
      </c>
      <c r="W14" s="102">
        <f t="shared" si="10"/>
        <v>5.8269036855760549E-2</v>
      </c>
      <c r="X14" s="98">
        <f t="shared" si="11"/>
        <v>255.82</v>
      </c>
      <c r="Y14" s="102">
        <f t="shared" si="12"/>
        <v>5.7967664819913216E-2</v>
      </c>
      <c r="Z14" s="98">
        <f t="shared" si="13"/>
        <v>1.329999999999643</v>
      </c>
      <c r="AA14" s="101">
        <f t="shared" si="14"/>
        <v>3.1991686972158648E-4</v>
      </c>
      <c r="AB14" s="11"/>
      <c r="AC14" s="2">
        <v>8</v>
      </c>
      <c r="AD14" s="5">
        <f t="shared" si="39"/>
        <v>21729</v>
      </c>
      <c r="AE14" s="62"/>
      <c r="AF14" s="61"/>
      <c r="AG14" s="61"/>
      <c r="AH14" s="3">
        <f t="shared" si="15"/>
        <v>0</v>
      </c>
      <c r="AI14" s="3">
        <f t="shared" si="16"/>
        <v>0</v>
      </c>
      <c r="AJ14" s="3">
        <f t="shared" si="17"/>
        <v>10858.46</v>
      </c>
      <c r="AK14" s="3">
        <f t="shared" si="18"/>
        <v>10161.19</v>
      </c>
      <c r="AL14" s="61">
        <v>10874</v>
      </c>
      <c r="AM14" s="98">
        <f t="shared" si="41"/>
        <v>712.80999999999949</v>
      </c>
      <c r="AN14" s="102">
        <f t="shared" si="19"/>
        <v>6.162013380233592E-2</v>
      </c>
      <c r="AO14" s="98">
        <f t="shared" si="20"/>
        <v>709.35</v>
      </c>
      <c r="AP14" s="102">
        <f t="shared" si="21"/>
        <v>6.1321027921447537E-2</v>
      </c>
      <c r="AQ14" s="98">
        <f t="shared" si="22"/>
        <v>3.4599999999994679</v>
      </c>
      <c r="AR14" s="101">
        <f t="shared" si="23"/>
        <v>3.1864555378934657E-4</v>
      </c>
      <c r="AS14" s="11"/>
      <c r="AT14" s="2">
        <v>8</v>
      </c>
      <c r="AU14" s="5">
        <f t="shared" si="40"/>
        <v>27554</v>
      </c>
      <c r="AV14" s="62">
        <v>25231</v>
      </c>
      <c r="AW14" s="61">
        <v>25404</v>
      </c>
      <c r="AX14" s="61"/>
      <c r="AY14" s="3">
        <f t="shared" si="24"/>
        <v>173</v>
      </c>
      <c r="AZ14" s="3">
        <f t="shared" si="25"/>
        <v>173</v>
      </c>
      <c r="BA14" s="3">
        <f t="shared" si="26"/>
        <v>570.17999999999995</v>
      </c>
      <c r="BB14" s="3">
        <f t="shared" si="27"/>
        <v>52365.85</v>
      </c>
      <c r="BC14" s="61">
        <v>52388</v>
      </c>
      <c r="BD14" s="98">
        <f t="shared" si="28"/>
        <v>22.150000000001455</v>
      </c>
      <c r="BE14" s="102">
        <f t="shared" si="29"/>
        <v>3.7406062653046454E-2</v>
      </c>
      <c r="BF14" s="98">
        <f t="shared" si="30"/>
        <v>21.97</v>
      </c>
      <c r="BG14" s="102">
        <f t="shared" si="31"/>
        <v>3.7102085620197588E-2</v>
      </c>
      <c r="BH14" s="98">
        <f t="shared" si="32"/>
        <v>0.18000000000145633</v>
      </c>
      <c r="BI14" s="101">
        <f t="shared" si="33"/>
        <v>3.1568978217660448E-4</v>
      </c>
      <c r="BJ14" s="11"/>
    </row>
    <row r="15" spans="1:62" x14ac:dyDescent="0.25">
      <c r="A15" s="1">
        <f t="shared" si="34"/>
        <v>45605</v>
      </c>
      <c r="B15" s="59">
        <f>4435.25-C15</f>
        <v>4267.67</v>
      </c>
      <c r="C15" s="59">
        <v>167.58</v>
      </c>
      <c r="D15" s="59">
        <f>8080.58-E15</f>
        <v>7522.5599999999995</v>
      </c>
      <c r="E15" s="59">
        <v>558.02</v>
      </c>
      <c r="F15" s="59">
        <f>555.81-G15</f>
        <v>514.82999999999993</v>
      </c>
      <c r="G15" s="59">
        <v>40.98</v>
      </c>
      <c r="H15" s="59">
        <v>3384</v>
      </c>
      <c r="I15" s="60">
        <v>26.9</v>
      </c>
      <c r="J15" s="60">
        <v>23.99</v>
      </c>
      <c r="K15" s="60">
        <v>27.19</v>
      </c>
      <c r="L15" s="2">
        <v>9</v>
      </c>
      <c r="M15" s="5">
        <f t="shared" si="35"/>
        <v>6816</v>
      </c>
      <c r="N15" s="61">
        <v>31314</v>
      </c>
      <c r="O15" s="61">
        <v>31423</v>
      </c>
      <c r="P15" s="61"/>
      <c r="Q15" s="3">
        <f t="shared" si="5"/>
        <v>109</v>
      </c>
      <c r="R15" s="3">
        <f t="shared" si="6"/>
        <v>109</v>
      </c>
      <c r="S15" s="3">
        <f t="shared" si="7"/>
        <v>4267.67</v>
      </c>
      <c r="T15" s="3">
        <f t="shared" si="8"/>
        <v>33803.75</v>
      </c>
      <c r="U15" s="61">
        <v>33970</v>
      </c>
      <c r="V15" s="98">
        <f t="shared" si="9"/>
        <v>166.25</v>
      </c>
      <c r="W15" s="102">
        <f t="shared" si="10"/>
        <v>3.7483794600078911E-2</v>
      </c>
      <c r="X15" s="98">
        <f t="shared" si="11"/>
        <v>167.58</v>
      </c>
      <c r="Y15" s="102">
        <f t="shared" si="12"/>
        <v>3.7783664956879549E-2</v>
      </c>
      <c r="Z15" s="98">
        <f t="shared" si="13"/>
        <v>-1.3300000000000125</v>
      </c>
      <c r="AA15" s="101">
        <f t="shared" si="14"/>
        <v>-3.1164546462121307E-4</v>
      </c>
      <c r="AB15" s="11"/>
      <c r="AC15" s="2">
        <v>9</v>
      </c>
      <c r="AD15" s="5">
        <f t="shared" si="39"/>
        <v>10874</v>
      </c>
      <c r="AE15" s="62"/>
      <c r="AF15" s="61"/>
      <c r="AG15" s="61"/>
      <c r="AH15" s="3">
        <f t="shared" si="15"/>
        <v>0</v>
      </c>
      <c r="AI15" s="3">
        <f t="shared" si="16"/>
        <v>0</v>
      </c>
      <c r="AJ15" s="3">
        <f t="shared" si="17"/>
        <v>7522.5599999999995</v>
      </c>
      <c r="AK15" s="3">
        <f t="shared" si="18"/>
        <v>2793.42</v>
      </c>
      <c r="AL15" s="61">
        <v>3349</v>
      </c>
      <c r="AM15" s="98">
        <f t="shared" si="41"/>
        <v>555.57999999999993</v>
      </c>
      <c r="AN15" s="102">
        <f t="shared" si="19"/>
        <v>6.8754965608904303E-2</v>
      </c>
      <c r="AO15" s="98">
        <f t="shared" si="20"/>
        <v>558.02</v>
      </c>
      <c r="AP15" s="102">
        <f t="shared" si="21"/>
        <v>6.9056924131683614E-2</v>
      </c>
      <c r="AQ15" s="98">
        <f t="shared" si="22"/>
        <v>-2.4400000000000546</v>
      </c>
      <c r="AR15" s="101">
        <f t="shared" si="23"/>
        <v>-3.2435766547559005E-4</v>
      </c>
      <c r="AS15" s="11"/>
      <c r="AT15" s="2">
        <v>9</v>
      </c>
      <c r="AU15" s="5">
        <f t="shared" si="40"/>
        <v>52388</v>
      </c>
      <c r="AV15" s="62"/>
      <c r="AW15" s="61"/>
      <c r="AX15" s="61"/>
      <c r="AY15" s="3">
        <f t="shared" si="24"/>
        <v>0</v>
      </c>
      <c r="AZ15" s="3">
        <f t="shared" si="25"/>
        <v>0</v>
      </c>
      <c r="BA15" s="3">
        <f t="shared" si="26"/>
        <v>514.82999999999993</v>
      </c>
      <c r="BB15" s="3">
        <f t="shared" si="27"/>
        <v>51832.19</v>
      </c>
      <c r="BC15" s="61">
        <v>51873</v>
      </c>
      <c r="BD15" s="98">
        <f t="shared" si="28"/>
        <v>40.809999999997672</v>
      </c>
      <c r="BE15" s="102">
        <f t="shared" si="29"/>
        <v>7.3424371637785715E-2</v>
      </c>
      <c r="BF15" s="98">
        <f t="shared" si="30"/>
        <v>40.98</v>
      </c>
      <c r="BG15" s="102">
        <f t="shared" si="31"/>
        <v>7.3730231553948297E-2</v>
      </c>
      <c r="BH15" s="98">
        <f t="shared" si="32"/>
        <v>-0.17000000000232518</v>
      </c>
      <c r="BI15" s="101">
        <f t="shared" si="33"/>
        <v>-3.3020608745085796E-4</v>
      </c>
      <c r="BJ15" s="11"/>
    </row>
    <row r="16" spans="1:62" x14ac:dyDescent="0.25">
      <c r="A16" s="4">
        <f t="shared" si="34"/>
        <v>45606</v>
      </c>
      <c r="B16" s="66">
        <f>6531.95-C16</f>
        <v>6256.8099999999995</v>
      </c>
      <c r="C16" s="63">
        <v>275.14</v>
      </c>
      <c r="D16" s="63">
        <f>6927.71-E16</f>
        <v>6690.79</v>
      </c>
      <c r="E16" s="63">
        <v>236.92</v>
      </c>
      <c r="F16" s="63">
        <f>2768.39-G16</f>
        <v>2713.92</v>
      </c>
      <c r="G16" s="63">
        <v>54.47</v>
      </c>
      <c r="H16" s="63">
        <v>6986.04</v>
      </c>
      <c r="I16" s="64">
        <v>26.9</v>
      </c>
      <c r="J16" s="64">
        <v>23.99</v>
      </c>
      <c r="K16" s="64">
        <v>27.19</v>
      </c>
      <c r="L16" s="2">
        <v>10</v>
      </c>
      <c r="M16" s="5">
        <f t="shared" si="35"/>
        <v>33970</v>
      </c>
      <c r="N16" s="61"/>
      <c r="O16" s="61"/>
      <c r="P16" s="61"/>
      <c r="Q16" s="3">
        <f t="shared" si="5"/>
        <v>0</v>
      </c>
      <c r="R16" s="3">
        <f t="shared" si="6"/>
        <v>0</v>
      </c>
      <c r="S16" s="3">
        <f t="shared" si="7"/>
        <v>6256.8099999999995</v>
      </c>
      <c r="T16" s="3">
        <f t="shared" si="8"/>
        <v>27438.05</v>
      </c>
      <c r="U16" s="61">
        <v>27713</v>
      </c>
      <c r="V16" s="98">
        <f t="shared" si="9"/>
        <v>274.95000000000073</v>
      </c>
      <c r="W16" s="102">
        <f t="shared" si="10"/>
        <v>4.2093096242316726E-2</v>
      </c>
      <c r="X16" s="98">
        <f t="shared" si="11"/>
        <v>275.14</v>
      </c>
      <c r="Y16" s="102">
        <f t="shared" si="12"/>
        <v>4.2122184033864314E-2</v>
      </c>
      <c r="Z16" s="98">
        <f t="shared" si="13"/>
        <v>-0.18999999999925876</v>
      </c>
      <c r="AA16" s="101">
        <f t="shared" si="14"/>
        <v>-3.0366912212334844E-5</v>
      </c>
      <c r="AB16" s="11"/>
      <c r="AC16" s="2">
        <v>10</v>
      </c>
      <c r="AD16" s="5">
        <f t="shared" si="39"/>
        <v>3349</v>
      </c>
      <c r="AE16" s="62">
        <v>31363</v>
      </c>
      <c r="AF16" s="61">
        <v>30968</v>
      </c>
      <c r="AG16" s="61"/>
      <c r="AH16" s="3">
        <f t="shared" si="15"/>
        <v>-395</v>
      </c>
      <c r="AI16" s="3">
        <f t="shared" si="16"/>
        <v>-395</v>
      </c>
      <c r="AJ16" s="3">
        <f t="shared" si="17"/>
        <v>6690.79</v>
      </c>
      <c r="AK16" s="3">
        <f t="shared" si="18"/>
        <v>27389.29</v>
      </c>
      <c r="AL16" s="61">
        <v>27626</v>
      </c>
      <c r="AM16" s="98">
        <f t="shared" si="41"/>
        <v>236.70999999999913</v>
      </c>
      <c r="AN16" s="102">
        <f t="shared" si="19"/>
        <v>3.4168578072696333E-2</v>
      </c>
      <c r="AO16" s="98">
        <f t="shared" si="20"/>
        <v>236.92</v>
      </c>
      <c r="AP16" s="102">
        <f t="shared" si="21"/>
        <v>3.4198891119865002E-2</v>
      </c>
      <c r="AQ16" s="98">
        <f t="shared" si="22"/>
        <v>-0.21000000000086061</v>
      </c>
      <c r="AR16" s="101">
        <f t="shared" si="23"/>
        <v>-3.1386428209652464E-5</v>
      </c>
      <c r="AS16" s="11"/>
      <c r="AT16" s="2">
        <v>10</v>
      </c>
      <c r="AU16" s="5">
        <f t="shared" si="40"/>
        <v>51873</v>
      </c>
      <c r="AV16" s="62"/>
      <c r="AW16" s="61"/>
      <c r="AX16" s="61"/>
      <c r="AY16" s="3">
        <f t="shared" si="24"/>
        <v>0</v>
      </c>
      <c r="AZ16" s="3">
        <f t="shared" si="25"/>
        <v>0</v>
      </c>
      <c r="BA16" s="3">
        <f t="shared" si="26"/>
        <v>2713.92</v>
      </c>
      <c r="BB16" s="3">
        <f t="shared" si="27"/>
        <v>49104.61</v>
      </c>
      <c r="BC16" s="61">
        <v>49159</v>
      </c>
      <c r="BD16" s="98">
        <f t="shared" si="28"/>
        <v>54.389999999999418</v>
      </c>
      <c r="BE16" s="102">
        <f t="shared" si="29"/>
        <v>1.9646798319600714E-2</v>
      </c>
      <c r="BF16" s="98">
        <f t="shared" si="30"/>
        <v>54.47</v>
      </c>
      <c r="BG16" s="102">
        <f t="shared" si="31"/>
        <v>1.9675695982141243E-2</v>
      </c>
      <c r="BH16" s="98">
        <f t="shared" si="32"/>
        <v>-8.000000000058094E-2</v>
      </c>
      <c r="BI16" s="101">
        <f t="shared" si="33"/>
        <v>-2.9477655937013963E-5</v>
      </c>
      <c r="BJ16" s="11"/>
    </row>
    <row r="17" spans="1:62" x14ac:dyDescent="0.25">
      <c r="A17" s="1">
        <f t="shared" si="34"/>
        <v>45607</v>
      </c>
      <c r="B17" s="59">
        <f>4816.51-C17</f>
        <v>4588.4400000000005</v>
      </c>
      <c r="C17" s="59">
        <v>228.07</v>
      </c>
      <c r="D17" s="59">
        <f>10903.77-E17</f>
        <v>10627.27</v>
      </c>
      <c r="E17" s="59">
        <v>276.5</v>
      </c>
      <c r="F17" s="59">
        <f>2160.29-G17</f>
        <v>2108.65</v>
      </c>
      <c r="G17" s="59">
        <v>51.64</v>
      </c>
      <c r="H17" s="59">
        <v>6686.01</v>
      </c>
      <c r="I17" s="60">
        <v>26.9</v>
      </c>
      <c r="J17" s="60">
        <v>23.99</v>
      </c>
      <c r="K17" s="60">
        <v>27.19</v>
      </c>
      <c r="L17" s="2">
        <v>11</v>
      </c>
      <c r="M17" s="5">
        <f t="shared" si="35"/>
        <v>27713</v>
      </c>
      <c r="N17" s="61"/>
      <c r="O17" s="61"/>
      <c r="P17" s="61"/>
      <c r="Q17" s="3">
        <f t="shared" si="5"/>
        <v>0</v>
      </c>
      <c r="R17" s="3">
        <f t="shared" si="6"/>
        <v>0</v>
      </c>
      <c r="S17" s="3">
        <f t="shared" si="7"/>
        <v>4588.4400000000005</v>
      </c>
      <c r="T17" s="3">
        <f t="shared" si="8"/>
        <v>22896.489999999998</v>
      </c>
      <c r="U17" s="61">
        <v>23126</v>
      </c>
      <c r="V17" s="98">
        <f t="shared" si="9"/>
        <v>229.51000000000204</v>
      </c>
      <c r="W17" s="102">
        <f t="shared" si="10"/>
        <v>4.7650684831963816E-2</v>
      </c>
      <c r="X17" s="98">
        <f t="shared" si="11"/>
        <v>228.07</v>
      </c>
      <c r="Y17" s="102">
        <f t="shared" si="12"/>
        <v>4.7351713169909326E-2</v>
      </c>
      <c r="Z17" s="98">
        <f t="shared" si="13"/>
        <v>1.4400000000020441</v>
      </c>
      <c r="AA17" s="101">
        <f t="shared" si="14"/>
        <v>3.138321521044285E-4</v>
      </c>
      <c r="AB17" s="11"/>
      <c r="AC17" s="2">
        <v>11</v>
      </c>
      <c r="AD17" s="5">
        <f t="shared" si="39"/>
        <v>27626</v>
      </c>
      <c r="AE17" s="62">
        <f>20694+20692</f>
        <v>41386</v>
      </c>
      <c r="AF17" s="61">
        <f>20806+20681</f>
        <v>41487</v>
      </c>
      <c r="AG17" s="61"/>
      <c r="AH17" s="3">
        <f t="shared" si="15"/>
        <v>101</v>
      </c>
      <c r="AI17" s="3">
        <f t="shared" si="16"/>
        <v>101</v>
      </c>
      <c r="AJ17" s="3">
        <f t="shared" si="17"/>
        <v>10627.27</v>
      </c>
      <c r="AK17" s="3">
        <f t="shared" si="18"/>
        <v>58209.229999999996</v>
      </c>
      <c r="AL17" s="61">
        <v>58489</v>
      </c>
      <c r="AM17" s="98">
        <f t="shared" si="41"/>
        <v>279.77000000000407</v>
      </c>
      <c r="AN17" s="102">
        <f t="shared" si="19"/>
        <v>2.5658098070667674E-2</v>
      </c>
      <c r="AO17" s="98">
        <f t="shared" si="20"/>
        <v>276.5</v>
      </c>
      <c r="AP17" s="102">
        <f t="shared" si="21"/>
        <v>2.5358201796259458E-2</v>
      </c>
      <c r="AQ17" s="98">
        <f t="shared" si="22"/>
        <v>3.2700000000040745</v>
      </c>
      <c r="AR17" s="101">
        <f t="shared" si="23"/>
        <v>3.0769896690345446E-4</v>
      </c>
      <c r="AS17" s="11"/>
      <c r="AT17" s="2">
        <v>11</v>
      </c>
      <c r="AU17" s="5">
        <f t="shared" si="40"/>
        <v>49159</v>
      </c>
      <c r="AV17" s="62"/>
      <c r="AW17" s="61"/>
      <c r="AX17" s="61"/>
      <c r="AY17" s="3">
        <f t="shared" si="24"/>
        <v>0</v>
      </c>
      <c r="AZ17" s="3">
        <f t="shared" si="25"/>
        <v>0</v>
      </c>
      <c r="BA17" s="3">
        <f t="shared" si="26"/>
        <v>2108.65</v>
      </c>
      <c r="BB17" s="3">
        <f t="shared" si="27"/>
        <v>46998.71</v>
      </c>
      <c r="BC17" s="61">
        <v>47051</v>
      </c>
      <c r="BD17" s="98">
        <f t="shared" si="28"/>
        <v>52.290000000000873</v>
      </c>
      <c r="BE17" s="102">
        <f t="shared" si="29"/>
        <v>2.4205083576742416E-2</v>
      </c>
      <c r="BF17" s="98">
        <f t="shared" si="30"/>
        <v>51.64</v>
      </c>
      <c r="BG17" s="102">
        <f t="shared" si="31"/>
        <v>2.3904198047484365E-2</v>
      </c>
      <c r="BH17" s="98">
        <f t="shared" si="32"/>
        <v>0.65000000000087255</v>
      </c>
      <c r="BI17" s="101">
        <f t="shared" si="33"/>
        <v>3.0825409622311551E-4</v>
      </c>
      <c r="BJ17" s="11"/>
    </row>
    <row r="18" spans="1:62" x14ac:dyDescent="0.25">
      <c r="A18" s="4">
        <f t="shared" si="34"/>
        <v>45608</v>
      </c>
      <c r="B18" s="63">
        <f>4392.41-C18</f>
        <v>4185.5599999999995</v>
      </c>
      <c r="C18" s="63">
        <v>206.85</v>
      </c>
      <c r="D18" s="63">
        <f>12659.95-E18</f>
        <v>12061.720000000001</v>
      </c>
      <c r="E18" s="63">
        <v>598.23</v>
      </c>
      <c r="F18" s="63">
        <f>1940.9-G18</f>
        <v>1899.8100000000002</v>
      </c>
      <c r="G18" s="63">
        <v>41.09</v>
      </c>
      <c r="H18" s="63">
        <v>2608.0100000000002</v>
      </c>
      <c r="I18" s="65">
        <v>26.9</v>
      </c>
      <c r="J18" s="65">
        <v>23.99</v>
      </c>
      <c r="K18" s="65">
        <v>27.19</v>
      </c>
      <c r="L18" s="2">
        <v>12</v>
      </c>
      <c r="M18" s="5">
        <f t="shared" si="35"/>
        <v>23126</v>
      </c>
      <c r="N18" s="61"/>
      <c r="O18" s="61"/>
      <c r="P18" s="61"/>
      <c r="Q18" s="3">
        <f t="shared" si="5"/>
        <v>0</v>
      </c>
      <c r="R18" s="3">
        <f t="shared" si="6"/>
        <v>0</v>
      </c>
      <c r="S18" s="3">
        <f t="shared" si="7"/>
        <v>4185.5599999999995</v>
      </c>
      <c r="T18" s="3">
        <f t="shared" si="8"/>
        <v>18733.59</v>
      </c>
      <c r="U18" s="61">
        <v>18940</v>
      </c>
      <c r="V18" s="98">
        <f t="shared" si="9"/>
        <v>206.40999999999985</v>
      </c>
      <c r="W18" s="102">
        <f t="shared" si="10"/>
        <v>4.6992425570472673E-2</v>
      </c>
      <c r="X18" s="98">
        <f t="shared" si="11"/>
        <v>206.85</v>
      </c>
      <c r="Y18" s="102">
        <f t="shared" si="12"/>
        <v>4.7092598368549385E-2</v>
      </c>
      <c r="Z18" s="98">
        <f t="shared" si="13"/>
        <v>-0.44000000000013983</v>
      </c>
      <c r="AA18" s="101">
        <f t="shared" si="14"/>
        <v>-1.0512332877802251E-4</v>
      </c>
      <c r="AB18" s="11"/>
      <c r="AC18" s="2">
        <v>12</v>
      </c>
      <c r="AD18" s="5">
        <f t="shared" si="39"/>
        <v>58489</v>
      </c>
      <c r="AE18" s="62"/>
      <c r="AF18" s="61"/>
      <c r="AG18" s="61"/>
      <c r="AH18" s="3">
        <f t="shared" si="15"/>
        <v>0</v>
      </c>
      <c r="AI18" s="3">
        <f t="shared" si="16"/>
        <v>0</v>
      </c>
      <c r="AJ18" s="3">
        <f t="shared" si="17"/>
        <v>12061.720000000001</v>
      </c>
      <c r="AK18" s="3">
        <f t="shared" si="18"/>
        <v>45829.05</v>
      </c>
      <c r="AL18" s="61">
        <v>46426</v>
      </c>
      <c r="AM18" s="98">
        <f t="shared" si="41"/>
        <v>596.94999999999709</v>
      </c>
      <c r="AN18" s="102">
        <f t="shared" si="19"/>
        <v>4.7152634884023797E-2</v>
      </c>
      <c r="AO18" s="98">
        <f t="shared" si="20"/>
        <v>598.23</v>
      </c>
      <c r="AP18" s="102">
        <f t="shared" si="21"/>
        <v>4.7253741128519461E-2</v>
      </c>
      <c r="AQ18" s="98">
        <f t="shared" si="22"/>
        <v>-1.2800000000029286</v>
      </c>
      <c r="AR18" s="101">
        <f t="shared" si="23"/>
        <v>-1.0612085175272917E-4</v>
      </c>
      <c r="AS18" s="11"/>
      <c r="AT18" s="2">
        <v>12</v>
      </c>
      <c r="AU18" s="5">
        <f t="shared" si="40"/>
        <v>47051</v>
      </c>
      <c r="AV18" s="62"/>
      <c r="AW18" s="61"/>
      <c r="AX18" s="61"/>
      <c r="AY18" s="3">
        <f t="shared" si="24"/>
        <v>0</v>
      </c>
      <c r="AZ18" s="3">
        <f t="shared" si="25"/>
        <v>0</v>
      </c>
      <c r="BA18" s="3">
        <f t="shared" si="26"/>
        <v>1899.8100000000002</v>
      </c>
      <c r="BB18" s="3">
        <f t="shared" si="27"/>
        <v>45110.1</v>
      </c>
      <c r="BC18" s="61">
        <v>45151</v>
      </c>
      <c r="BD18" s="98">
        <f t="shared" si="28"/>
        <v>40.900000000001455</v>
      </c>
      <c r="BE18" s="102">
        <f t="shared" si="29"/>
        <v>2.1072698232779356E-2</v>
      </c>
      <c r="BF18" s="98">
        <f t="shared" si="30"/>
        <v>41.09</v>
      </c>
      <c r="BG18" s="102">
        <f t="shared" si="31"/>
        <v>2.117059096295533E-2</v>
      </c>
      <c r="BH18" s="98">
        <f t="shared" si="32"/>
        <v>-0.18999999999854822</v>
      </c>
      <c r="BI18" s="101">
        <f t="shared" si="33"/>
        <v>-1.0001000099933583E-4</v>
      </c>
      <c r="BJ18" s="11"/>
    </row>
    <row r="19" spans="1:62" x14ac:dyDescent="0.25">
      <c r="A19" s="1">
        <f t="shared" si="34"/>
        <v>45609</v>
      </c>
      <c r="B19" s="59">
        <f>4423.92-C19</f>
        <v>4206.01</v>
      </c>
      <c r="C19" s="59">
        <v>217.91</v>
      </c>
      <c r="D19" s="59">
        <f>13700.79-E19</f>
        <v>13012.140000000001</v>
      </c>
      <c r="E19" s="59">
        <v>688.65</v>
      </c>
      <c r="F19" s="59">
        <f>3104.32-G19</f>
        <v>3047.7200000000003</v>
      </c>
      <c r="G19" s="59">
        <v>56.6</v>
      </c>
      <c r="H19" s="59">
        <v>5151.0200000000004</v>
      </c>
      <c r="I19" s="60">
        <v>26.9</v>
      </c>
      <c r="J19" s="60">
        <v>23.99</v>
      </c>
      <c r="K19" s="60">
        <v>27.19</v>
      </c>
      <c r="L19" s="2">
        <v>13</v>
      </c>
      <c r="M19" s="5">
        <f t="shared" si="35"/>
        <v>18940</v>
      </c>
      <c r="N19" s="61"/>
      <c r="O19" s="61"/>
      <c r="P19" s="61"/>
      <c r="Q19" s="3">
        <f t="shared" si="5"/>
        <v>0</v>
      </c>
      <c r="R19" s="3">
        <f t="shared" si="6"/>
        <v>0</v>
      </c>
      <c r="S19" s="3">
        <f t="shared" si="7"/>
        <v>4206.01</v>
      </c>
      <c r="T19" s="3">
        <f t="shared" si="8"/>
        <v>14516.08</v>
      </c>
      <c r="U19" s="61">
        <v>14735</v>
      </c>
      <c r="V19" s="98">
        <f t="shared" si="9"/>
        <v>218.92000000000007</v>
      </c>
      <c r="W19" s="102">
        <f t="shared" si="10"/>
        <v>4.9485524150527149E-2</v>
      </c>
      <c r="X19" s="98">
        <f t="shared" si="11"/>
        <v>217.91</v>
      </c>
      <c r="Y19" s="102">
        <f t="shared" si="12"/>
        <v>4.9257219841226781E-2</v>
      </c>
      <c r="Z19" s="98">
        <f t="shared" si="13"/>
        <v>1.0100000000000762</v>
      </c>
      <c r="AA19" s="101">
        <f t="shared" si="14"/>
        <v>2.4013257220027441E-4</v>
      </c>
      <c r="AB19" s="11"/>
      <c r="AC19" s="2">
        <v>13</v>
      </c>
      <c r="AD19" s="5">
        <f t="shared" si="39"/>
        <v>46426</v>
      </c>
      <c r="AE19" s="62"/>
      <c r="AF19" s="61"/>
      <c r="AG19" s="61"/>
      <c r="AH19" s="3">
        <f t="shared" si="15"/>
        <v>0</v>
      </c>
      <c r="AI19" s="3">
        <f t="shared" si="16"/>
        <v>0</v>
      </c>
      <c r="AJ19" s="3">
        <f t="shared" si="17"/>
        <v>13012.140000000001</v>
      </c>
      <c r="AK19" s="3">
        <f t="shared" si="18"/>
        <v>32725.21</v>
      </c>
      <c r="AL19" s="61">
        <v>33417</v>
      </c>
      <c r="AM19" s="98">
        <f t="shared" si="41"/>
        <v>691.79000000000087</v>
      </c>
      <c r="AN19" s="102">
        <f t="shared" si="19"/>
        <v>5.0492708814601266E-2</v>
      </c>
      <c r="AO19" s="98">
        <f t="shared" si="20"/>
        <v>688.65</v>
      </c>
      <c r="AP19" s="102">
        <f t="shared" si="21"/>
        <v>5.0263524950021128E-2</v>
      </c>
      <c r="AQ19" s="98">
        <f t="shared" si="22"/>
        <v>3.1400000000008959</v>
      </c>
      <c r="AR19" s="101">
        <f t="shared" si="23"/>
        <v>2.413131122168141E-4</v>
      </c>
      <c r="AS19" s="11"/>
      <c r="AT19" s="2">
        <v>13</v>
      </c>
      <c r="AU19" s="5">
        <f t="shared" si="40"/>
        <v>45151</v>
      </c>
      <c r="AV19" s="62"/>
      <c r="AW19" s="61"/>
      <c r="AX19" s="61"/>
      <c r="AY19" s="3">
        <f t="shared" si="24"/>
        <v>0</v>
      </c>
      <c r="AZ19" s="3">
        <f t="shared" si="25"/>
        <v>0</v>
      </c>
      <c r="BA19" s="3">
        <f t="shared" si="26"/>
        <v>3047.7200000000003</v>
      </c>
      <c r="BB19" s="3">
        <f t="shared" si="27"/>
        <v>42046.68</v>
      </c>
      <c r="BC19" s="61">
        <v>42104</v>
      </c>
      <c r="BD19" s="98">
        <f t="shared" si="28"/>
        <v>57.319999999999709</v>
      </c>
      <c r="BE19" s="102">
        <f t="shared" si="29"/>
        <v>1.8464591279249466E-2</v>
      </c>
      <c r="BF19" s="98">
        <f t="shared" si="30"/>
        <v>56.6</v>
      </c>
      <c r="BG19" s="102">
        <f t="shared" si="31"/>
        <v>1.8232656427172457E-2</v>
      </c>
      <c r="BH19" s="98">
        <f t="shared" si="32"/>
        <v>0.71999999999970754</v>
      </c>
      <c r="BI19" s="101">
        <f t="shared" si="33"/>
        <v>2.3624217447787443E-4</v>
      </c>
      <c r="BJ19" s="11"/>
    </row>
    <row r="20" spans="1:62" x14ac:dyDescent="0.25">
      <c r="A20" s="4">
        <f t="shared" si="34"/>
        <v>45610</v>
      </c>
      <c r="B20" s="63">
        <f>4547.56-C20</f>
        <v>4307.2300000000005</v>
      </c>
      <c r="C20" s="63">
        <v>240.33</v>
      </c>
      <c r="D20" s="63">
        <f>11397.8-E20</f>
        <v>10958.05</v>
      </c>
      <c r="E20" s="63">
        <v>439.75</v>
      </c>
      <c r="F20" s="63">
        <f>2237.31-G20</f>
        <v>2191.62</v>
      </c>
      <c r="G20" s="63">
        <v>45.69</v>
      </c>
      <c r="H20" s="63">
        <v>7996.03</v>
      </c>
      <c r="I20" s="65">
        <v>26.9</v>
      </c>
      <c r="J20" s="65">
        <v>23.99</v>
      </c>
      <c r="K20" s="65">
        <v>27.19</v>
      </c>
      <c r="L20" s="2">
        <v>14</v>
      </c>
      <c r="M20" s="5">
        <f t="shared" si="35"/>
        <v>14735</v>
      </c>
      <c r="N20" s="61"/>
      <c r="O20" s="61"/>
      <c r="P20" s="61"/>
      <c r="Q20" s="3">
        <f t="shared" si="5"/>
        <v>0</v>
      </c>
      <c r="R20" s="3">
        <f t="shared" si="6"/>
        <v>0</v>
      </c>
      <c r="S20" s="3">
        <f t="shared" si="7"/>
        <v>4307.2300000000005</v>
      </c>
      <c r="T20" s="3">
        <f t="shared" si="8"/>
        <v>10187.439999999999</v>
      </c>
      <c r="U20" s="61">
        <v>10427</v>
      </c>
      <c r="V20" s="98">
        <f t="shared" si="9"/>
        <v>239.56000000000131</v>
      </c>
      <c r="W20" s="102">
        <f t="shared" si="10"/>
        <v>5.2678799180220004E-2</v>
      </c>
      <c r="X20" s="98">
        <f t="shared" si="11"/>
        <v>240.33</v>
      </c>
      <c r="Y20" s="102">
        <f t="shared" si="12"/>
        <v>5.284812075046838E-2</v>
      </c>
      <c r="Z20" s="98">
        <f t="shared" si="13"/>
        <v>-0.76999999999870283</v>
      </c>
      <c r="AA20" s="101">
        <f t="shared" si="14"/>
        <v>-1.7876918576409961E-4</v>
      </c>
      <c r="AB20" s="11"/>
      <c r="AC20" s="2">
        <v>14</v>
      </c>
      <c r="AD20" s="5">
        <f t="shared" si="39"/>
        <v>33417</v>
      </c>
      <c r="AE20" s="62">
        <v>20656</v>
      </c>
      <c r="AF20" s="61">
        <v>20726</v>
      </c>
      <c r="AG20" s="61"/>
      <c r="AH20" s="3">
        <f t="shared" si="15"/>
        <v>70</v>
      </c>
      <c r="AI20" s="3">
        <f t="shared" si="16"/>
        <v>70</v>
      </c>
      <c r="AJ20" s="3">
        <f t="shared" si="17"/>
        <v>10958.05</v>
      </c>
      <c r="AK20" s="3">
        <f t="shared" si="18"/>
        <v>42745.2</v>
      </c>
      <c r="AL20" s="61">
        <v>43183</v>
      </c>
      <c r="AM20" s="98">
        <f t="shared" si="41"/>
        <v>437.80000000000291</v>
      </c>
      <c r="AN20" s="102">
        <f t="shared" si="19"/>
        <v>3.8410921405885604E-2</v>
      </c>
      <c r="AO20" s="98">
        <f t="shared" si="20"/>
        <v>439.75</v>
      </c>
      <c r="AP20" s="102">
        <f t="shared" si="21"/>
        <v>3.8582007053992881E-2</v>
      </c>
      <c r="AQ20" s="98">
        <f t="shared" si="22"/>
        <v>-1.9499999999970896</v>
      </c>
      <c r="AR20" s="101">
        <f t="shared" si="23"/>
        <v>-1.7795136908456248E-4</v>
      </c>
      <c r="AS20" s="11"/>
      <c r="AT20" s="2">
        <v>14</v>
      </c>
      <c r="AU20" s="5">
        <f t="shared" si="40"/>
        <v>42104</v>
      </c>
      <c r="AV20" s="62"/>
      <c r="AW20" s="61"/>
      <c r="AX20" s="61"/>
      <c r="AY20" s="3">
        <f t="shared" si="24"/>
        <v>0</v>
      </c>
      <c r="AZ20" s="3">
        <f t="shared" si="25"/>
        <v>0</v>
      </c>
      <c r="BA20" s="3">
        <f t="shared" si="26"/>
        <v>2191.62</v>
      </c>
      <c r="BB20" s="3">
        <f t="shared" si="27"/>
        <v>39866.69</v>
      </c>
      <c r="BC20" s="61">
        <v>39912</v>
      </c>
      <c r="BD20" s="98">
        <f t="shared" si="28"/>
        <v>45.309999999997672</v>
      </c>
      <c r="BE20" s="102">
        <f t="shared" si="29"/>
        <v>2.0251999052432461E-2</v>
      </c>
      <c r="BF20" s="98">
        <f t="shared" si="30"/>
        <v>45.69</v>
      </c>
      <c r="BG20" s="102">
        <f t="shared" si="31"/>
        <v>2.0421845877415287E-2</v>
      </c>
      <c r="BH20" s="98">
        <f t="shared" si="32"/>
        <v>-0.38000000000232603</v>
      </c>
      <c r="BI20" s="101">
        <f t="shared" si="33"/>
        <v>-1.7338772232518686E-4</v>
      </c>
      <c r="BJ20" s="11"/>
    </row>
    <row r="21" spans="1:62" x14ac:dyDescent="0.25">
      <c r="A21" s="1">
        <f t="shared" si="34"/>
        <v>45611</v>
      </c>
      <c r="B21" s="59">
        <f>4844.32-C21</f>
        <v>4555.09</v>
      </c>
      <c r="C21" s="59">
        <v>289.23</v>
      </c>
      <c r="D21" s="59">
        <f>12501.38-E21</f>
        <v>11977.38</v>
      </c>
      <c r="E21" s="59">
        <v>524</v>
      </c>
      <c r="F21" s="59">
        <f>831.97-G21</f>
        <v>813.36</v>
      </c>
      <c r="G21" s="59">
        <v>18.61</v>
      </c>
      <c r="H21" s="59">
        <v>6732.01</v>
      </c>
      <c r="I21" s="60">
        <v>26.9</v>
      </c>
      <c r="J21" s="60">
        <v>23.99</v>
      </c>
      <c r="K21" s="60">
        <v>27.19</v>
      </c>
      <c r="L21" s="2">
        <v>15</v>
      </c>
      <c r="M21" s="5">
        <f t="shared" si="35"/>
        <v>10427</v>
      </c>
      <c r="N21" s="61"/>
      <c r="O21" s="61"/>
      <c r="P21" s="61"/>
      <c r="Q21" s="3">
        <f t="shared" si="5"/>
        <v>0</v>
      </c>
      <c r="R21" s="3">
        <f t="shared" si="6"/>
        <v>0</v>
      </c>
      <c r="S21" s="3">
        <f t="shared" si="7"/>
        <v>4555.09</v>
      </c>
      <c r="T21" s="3">
        <f t="shared" si="8"/>
        <v>5582.68</v>
      </c>
      <c r="U21" s="61">
        <v>5874</v>
      </c>
      <c r="V21" s="98">
        <f t="shared" si="9"/>
        <v>291.31999999999971</v>
      </c>
      <c r="W21" s="102">
        <f t="shared" si="10"/>
        <v>6.0136407173762202E-2</v>
      </c>
      <c r="X21" s="98">
        <f t="shared" si="11"/>
        <v>289.23</v>
      </c>
      <c r="Y21" s="102">
        <f t="shared" si="12"/>
        <v>5.9704974072728484E-2</v>
      </c>
      <c r="Z21" s="98">
        <f t="shared" si="13"/>
        <v>2.0899999999996908</v>
      </c>
      <c r="AA21" s="101">
        <f t="shared" si="14"/>
        <v>4.5882737772463128E-4</v>
      </c>
      <c r="AB21" s="11"/>
      <c r="AC21" s="2">
        <v>15</v>
      </c>
      <c r="AD21" s="5">
        <f t="shared" si="39"/>
        <v>43183</v>
      </c>
      <c r="AE21" s="62">
        <v>20688</v>
      </c>
      <c r="AF21" s="61">
        <v>20719</v>
      </c>
      <c r="AG21" s="61"/>
      <c r="AH21" s="3">
        <f t="shared" si="15"/>
        <v>31</v>
      </c>
      <c r="AI21" s="3">
        <f t="shared" si="16"/>
        <v>31</v>
      </c>
      <c r="AJ21" s="3">
        <f t="shared" si="17"/>
        <v>11977.38</v>
      </c>
      <c r="AK21" s="3">
        <f t="shared" si="18"/>
        <v>51400.62</v>
      </c>
      <c r="AL21" s="61">
        <v>51930</v>
      </c>
      <c r="AM21" s="98">
        <f t="shared" si="41"/>
        <v>529.37999999999738</v>
      </c>
      <c r="AN21" s="102">
        <f t="shared" si="19"/>
        <v>4.2345725031956265E-2</v>
      </c>
      <c r="AO21" s="98">
        <f t="shared" si="20"/>
        <v>524</v>
      </c>
      <c r="AP21" s="102">
        <f t="shared" si="21"/>
        <v>4.1915372542871268E-2</v>
      </c>
      <c r="AQ21" s="98">
        <f t="shared" si="22"/>
        <v>5.3799999999973807</v>
      </c>
      <c r="AR21" s="101">
        <f t="shared" si="23"/>
        <v>4.4918003770418746E-4</v>
      </c>
      <c r="AS21" s="11"/>
      <c r="AT21" s="2">
        <v>15</v>
      </c>
      <c r="AU21" s="5">
        <f t="shared" si="40"/>
        <v>39912</v>
      </c>
      <c r="AV21" s="62"/>
      <c r="AW21" s="61"/>
      <c r="AX21" s="61"/>
      <c r="AY21" s="3">
        <f t="shared" si="24"/>
        <v>0</v>
      </c>
      <c r="AZ21" s="3">
        <f t="shared" si="25"/>
        <v>0</v>
      </c>
      <c r="BA21" s="3">
        <f t="shared" si="26"/>
        <v>813.36</v>
      </c>
      <c r="BB21" s="3">
        <f t="shared" si="27"/>
        <v>39080.03</v>
      </c>
      <c r="BC21" s="61">
        <v>39099</v>
      </c>
      <c r="BD21" s="98">
        <f t="shared" si="28"/>
        <v>18.970000000001164</v>
      </c>
      <c r="BE21" s="102">
        <f t="shared" si="29"/>
        <v>2.2801302931597489E-2</v>
      </c>
      <c r="BF21" s="98">
        <f t="shared" si="30"/>
        <v>18.61</v>
      </c>
      <c r="BG21" s="102">
        <f t="shared" si="31"/>
        <v>2.23685950214551E-2</v>
      </c>
      <c r="BH21" s="98">
        <f t="shared" si="32"/>
        <v>0.36000000000116472</v>
      </c>
      <c r="BI21" s="101">
        <f t="shared" si="33"/>
        <v>4.4260843906900353E-4</v>
      </c>
      <c r="BJ21" s="11"/>
    </row>
    <row r="22" spans="1:62" x14ac:dyDescent="0.25">
      <c r="A22" s="4">
        <f t="shared" si="34"/>
        <v>45612</v>
      </c>
      <c r="B22" s="63">
        <f>3280.29-C22</f>
        <v>3141.24</v>
      </c>
      <c r="C22" s="63">
        <v>139.05000000000001</v>
      </c>
      <c r="D22" s="63">
        <f>10035.18-E22</f>
        <v>9558.69</v>
      </c>
      <c r="E22" s="63">
        <v>476.49</v>
      </c>
      <c r="F22" s="63">
        <f>1208.9-G22</f>
        <v>1169.72</v>
      </c>
      <c r="G22" s="63">
        <v>39.18</v>
      </c>
      <c r="H22" s="63">
        <v>3215</v>
      </c>
      <c r="I22" s="65">
        <v>26.9</v>
      </c>
      <c r="J22" s="65">
        <v>23.99</v>
      </c>
      <c r="K22" s="65">
        <v>27.19</v>
      </c>
      <c r="L22" s="2">
        <v>16</v>
      </c>
      <c r="M22" s="5">
        <f t="shared" si="35"/>
        <v>5874</v>
      </c>
      <c r="N22" s="61">
        <f>20372+323</f>
        <v>20695</v>
      </c>
      <c r="O22" s="61">
        <v>20367</v>
      </c>
      <c r="P22" s="61"/>
      <c r="Q22" s="3">
        <f t="shared" si="5"/>
        <v>-328</v>
      </c>
      <c r="R22" s="3">
        <f t="shared" si="6"/>
        <v>-328</v>
      </c>
      <c r="S22" s="3">
        <f t="shared" si="7"/>
        <v>3141.24</v>
      </c>
      <c r="T22" s="3">
        <f t="shared" si="8"/>
        <v>22960.71</v>
      </c>
      <c r="U22" s="61">
        <v>23099</v>
      </c>
      <c r="V22" s="98">
        <f t="shared" si="9"/>
        <v>138.29000000000087</v>
      </c>
      <c r="W22" s="102">
        <f t="shared" si="10"/>
        <v>4.2157857994262971E-2</v>
      </c>
      <c r="X22" s="98">
        <f t="shared" si="11"/>
        <v>139.05000000000001</v>
      </c>
      <c r="Y22" s="102">
        <f t="shared" si="12"/>
        <v>4.2389544826829342E-2</v>
      </c>
      <c r="Z22" s="98">
        <f t="shared" si="13"/>
        <v>-0.75999999999913825</v>
      </c>
      <c r="AA22" s="101">
        <f t="shared" si="14"/>
        <v>-2.4194267232021058E-4</v>
      </c>
      <c r="AB22" s="11"/>
      <c r="AC22" s="2">
        <v>16</v>
      </c>
      <c r="AD22" s="5">
        <f t="shared" si="39"/>
        <v>51930</v>
      </c>
      <c r="AE22" s="62"/>
      <c r="AF22" s="61"/>
      <c r="AG22" s="61"/>
      <c r="AH22" s="3">
        <f t="shared" si="15"/>
        <v>0</v>
      </c>
      <c r="AI22" s="3">
        <f t="shared" si="16"/>
        <v>0</v>
      </c>
      <c r="AJ22" s="3">
        <f t="shared" si="17"/>
        <v>9558.69</v>
      </c>
      <c r="AK22" s="3">
        <f t="shared" si="18"/>
        <v>41894.82</v>
      </c>
      <c r="AL22" s="61">
        <v>42369</v>
      </c>
      <c r="AM22" s="98">
        <f t="shared" si="41"/>
        <v>474.18000000000029</v>
      </c>
      <c r="AN22" s="102">
        <f t="shared" si="19"/>
        <v>4.725176827919382E-2</v>
      </c>
      <c r="AO22" s="98">
        <f t="shared" si="20"/>
        <v>476.49</v>
      </c>
      <c r="AP22" s="102">
        <f t="shared" si="21"/>
        <v>4.7481958470102177E-2</v>
      </c>
      <c r="AQ22" s="98">
        <f t="shared" si="22"/>
        <v>-2.3099999999997181</v>
      </c>
      <c r="AR22" s="101">
        <f t="shared" si="23"/>
        <v>-2.4166491433446613E-4</v>
      </c>
      <c r="AS22" s="11"/>
      <c r="AT22" s="2">
        <v>16</v>
      </c>
      <c r="AU22" s="5">
        <f t="shared" si="40"/>
        <v>39099</v>
      </c>
      <c r="AV22" s="62"/>
      <c r="AW22" s="61"/>
      <c r="AX22" s="61"/>
      <c r="AY22" s="3">
        <f t="shared" si="24"/>
        <v>0</v>
      </c>
      <c r="AZ22" s="3">
        <f t="shared" si="25"/>
        <v>0</v>
      </c>
      <c r="BA22" s="3">
        <f t="shared" si="26"/>
        <v>1169.72</v>
      </c>
      <c r="BB22" s="3">
        <f t="shared" si="27"/>
        <v>37890.1</v>
      </c>
      <c r="BC22" s="61">
        <v>37929</v>
      </c>
      <c r="BD22" s="98">
        <f t="shared" si="28"/>
        <v>38.900000000001455</v>
      </c>
      <c r="BE22" s="102">
        <f t="shared" si="29"/>
        <v>3.2178013069734016E-2</v>
      </c>
      <c r="BF22" s="98">
        <f t="shared" si="30"/>
        <v>39.18</v>
      </c>
      <c r="BG22" s="102">
        <f t="shared" si="31"/>
        <v>3.2409628587972535E-2</v>
      </c>
      <c r="BH22" s="98">
        <f t="shared" si="32"/>
        <v>-0.27999999999854452</v>
      </c>
      <c r="BI22" s="101">
        <f t="shared" si="33"/>
        <v>-2.3937352528685882E-4</v>
      </c>
      <c r="BJ22" s="11"/>
    </row>
    <row r="23" spans="1:62" x14ac:dyDescent="0.25">
      <c r="A23" s="1">
        <f t="shared" si="34"/>
        <v>45613</v>
      </c>
      <c r="B23" s="59">
        <f>3338.68-C23</f>
        <v>3192.56</v>
      </c>
      <c r="C23" s="59">
        <v>146.12</v>
      </c>
      <c r="D23" s="59">
        <f>9864.65-E23</f>
        <v>9371.75</v>
      </c>
      <c r="E23" s="59">
        <v>492.9</v>
      </c>
      <c r="F23" s="59">
        <f>2152.42-G23</f>
        <v>2103.0700000000002</v>
      </c>
      <c r="G23" s="59">
        <v>49.35</v>
      </c>
      <c r="H23" s="59">
        <v>8093</v>
      </c>
      <c r="I23" s="60">
        <v>26.9</v>
      </c>
      <c r="J23" s="60">
        <v>23.99</v>
      </c>
      <c r="K23" s="60">
        <v>27.19</v>
      </c>
      <c r="L23" s="2">
        <v>17</v>
      </c>
      <c r="M23" s="5">
        <f t="shared" si="35"/>
        <v>23099</v>
      </c>
      <c r="N23" s="61"/>
      <c r="O23" s="61"/>
      <c r="P23" s="61"/>
      <c r="Q23" s="3">
        <f t="shared" si="5"/>
        <v>0</v>
      </c>
      <c r="R23" s="3">
        <f t="shared" si="6"/>
        <v>0</v>
      </c>
      <c r="S23" s="3">
        <f t="shared" si="7"/>
        <v>3192.56</v>
      </c>
      <c r="T23" s="3">
        <f t="shared" si="8"/>
        <v>19760.32</v>
      </c>
      <c r="U23" s="61">
        <v>19905</v>
      </c>
      <c r="V23" s="98">
        <f t="shared" si="9"/>
        <v>144.68000000000029</v>
      </c>
      <c r="W23" s="102">
        <f t="shared" si="10"/>
        <v>4.3334491475673108E-2</v>
      </c>
      <c r="X23" s="98">
        <f t="shared" si="11"/>
        <v>146.12</v>
      </c>
      <c r="Y23" s="102">
        <f t="shared" si="12"/>
        <v>4.3765799657349613E-2</v>
      </c>
      <c r="Z23" s="98">
        <f t="shared" si="13"/>
        <v>-1.4399999999997135</v>
      </c>
      <c r="AA23" s="101">
        <f t="shared" si="14"/>
        <v>-4.5104868819997542E-4</v>
      </c>
      <c r="AB23" s="11"/>
      <c r="AC23" s="2">
        <v>17</v>
      </c>
      <c r="AD23" s="5">
        <f t="shared" si="39"/>
        <v>42369</v>
      </c>
      <c r="AE23" s="62"/>
      <c r="AF23" s="61"/>
      <c r="AG23" s="61"/>
      <c r="AH23" s="3">
        <f t="shared" si="15"/>
        <v>0</v>
      </c>
      <c r="AI23" s="3">
        <f t="shared" si="16"/>
        <v>0</v>
      </c>
      <c r="AJ23" s="3">
        <f t="shared" si="17"/>
        <v>9371.75</v>
      </c>
      <c r="AK23" s="3">
        <f t="shared" si="18"/>
        <v>32504.35</v>
      </c>
      <c r="AL23" s="61">
        <v>32993</v>
      </c>
      <c r="AM23" s="98">
        <f t="shared" si="41"/>
        <v>488.65000000000146</v>
      </c>
      <c r="AN23" s="102">
        <f t="shared" si="19"/>
        <v>4.953546248473098E-2</v>
      </c>
      <c r="AO23" s="98">
        <f t="shared" si="20"/>
        <v>492.9</v>
      </c>
      <c r="AP23" s="102">
        <f t="shared" si="21"/>
        <v>4.9966293786398906E-2</v>
      </c>
      <c r="AQ23" s="98">
        <f t="shared" si="22"/>
        <v>-4.2499999999985221</v>
      </c>
      <c r="AR23" s="101">
        <f t="shared" si="23"/>
        <v>-4.5349054338821693E-4</v>
      </c>
      <c r="AS23" s="11"/>
      <c r="AT23" s="2">
        <v>17</v>
      </c>
      <c r="AU23" s="5">
        <f t="shared" si="40"/>
        <v>37929</v>
      </c>
      <c r="AV23" s="62"/>
      <c r="AW23" s="61"/>
      <c r="AX23" s="61"/>
      <c r="AY23" s="3">
        <f t="shared" si="24"/>
        <v>0</v>
      </c>
      <c r="AZ23" s="3">
        <f t="shared" si="25"/>
        <v>0</v>
      </c>
      <c r="BA23" s="3">
        <f t="shared" si="26"/>
        <v>2103.0700000000002</v>
      </c>
      <c r="BB23" s="3">
        <f t="shared" si="27"/>
        <v>35776.58</v>
      </c>
      <c r="BC23" s="61">
        <v>35825</v>
      </c>
      <c r="BD23" s="98">
        <f t="shared" si="28"/>
        <v>48.419999999998254</v>
      </c>
      <c r="BE23" s="102">
        <f t="shared" si="29"/>
        <v>2.2495609592922503E-2</v>
      </c>
      <c r="BF23" s="98">
        <f t="shared" si="30"/>
        <v>49.35</v>
      </c>
      <c r="BG23" s="102">
        <f t="shared" si="31"/>
        <v>2.2927681400470169E-2</v>
      </c>
      <c r="BH23" s="98">
        <f t="shared" si="32"/>
        <v>-0.93000000000174765</v>
      </c>
      <c r="BI23" s="101">
        <f t="shared" si="33"/>
        <v>-4.4221067296939599E-4</v>
      </c>
      <c r="BJ23" s="11"/>
    </row>
    <row r="24" spans="1:62" x14ac:dyDescent="0.25">
      <c r="A24" s="4">
        <f t="shared" si="34"/>
        <v>45614</v>
      </c>
      <c r="B24" s="63">
        <f>4275.23-C24</f>
        <v>4052.7199999999993</v>
      </c>
      <c r="C24" s="63">
        <v>222.51</v>
      </c>
      <c r="D24" s="63">
        <f>10934.76-E24</f>
        <v>10488.72</v>
      </c>
      <c r="E24" s="63">
        <v>446.04</v>
      </c>
      <c r="F24" s="63">
        <f>2172.89-G24</f>
        <v>2172.89</v>
      </c>
      <c r="G24" s="63">
        <v>0</v>
      </c>
      <c r="H24" s="63">
        <v>6751.01</v>
      </c>
      <c r="I24" s="65">
        <v>26.9</v>
      </c>
      <c r="J24" s="65">
        <v>23.99</v>
      </c>
      <c r="K24" s="65">
        <v>27.19</v>
      </c>
      <c r="L24" s="2">
        <v>18</v>
      </c>
      <c r="M24" s="5">
        <f t="shared" si="35"/>
        <v>19905</v>
      </c>
      <c r="N24" s="61"/>
      <c r="O24" s="61"/>
      <c r="P24" s="61"/>
      <c r="Q24" s="3">
        <f t="shared" si="5"/>
        <v>0</v>
      </c>
      <c r="R24" s="3">
        <f t="shared" si="6"/>
        <v>0</v>
      </c>
      <c r="S24" s="3">
        <f t="shared" si="7"/>
        <v>4052.7199999999993</v>
      </c>
      <c r="T24" s="3">
        <f t="shared" si="8"/>
        <v>15629.77</v>
      </c>
      <c r="U24" s="61">
        <v>15851</v>
      </c>
      <c r="V24" s="98">
        <f t="shared" si="9"/>
        <v>221.22999999999956</v>
      </c>
      <c r="W24" s="102">
        <f t="shared" si="10"/>
        <v>5.1746923557328982E-2</v>
      </c>
      <c r="X24" s="98">
        <f t="shared" si="11"/>
        <v>222.51</v>
      </c>
      <c r="Y24" s="102">
        <f t="shared" si="12"/>
        <v>5.2046322653985871E-2</v>
      </c>
      <c r="Z24" s="98">
        <f t="shared" si="13"/>
        <v>-1.2800000000004275</v>
      </c>
      <c r="AA24" s="101">
        <f t="shared" si="14"/>
        <v>-3.1583726484939195E-4</v>
      </c>
      <c r="AB24" s="11"/>
      <c r="AC24" s="2">
        <v>18</v>
      </c>
      <c r="AD24" s="5">
        <f t="shared" si="39"/>
        <v>32993</v>
      </c>
      <c r="AE24" s="62">
        <v>20756</v>
      </c>
      <c r="AF24" s="61">
        <v>20791</v>
      </c>
      <c r="AG24" s="61"/>
      <c r="AH24" s="3">
        <f t="shared" si="15"/>
        <v>35</v>
      </c>
      <c r="AI24" s="3">
        <f t="shared" si="16"/>
        <v>35</v>
      </c>
      <c r="AJ24" s="3">
        <f t="shared" si="17"/>
        <v>10488.72</v>
      </c>
      <c r="AK24" s="3">
        <f t="shared" si="18"/>
        <v>42849.24</v>
      </c>
      <c r="AL24" s="61">
        <v>43292</v>
      </c>
      <c r="AM24" s="98">
        <f t="shared" si="41"/>
        <v>442.76000000000204</v>
      </c>
      <c r="AN24" s="102">
        <f t="shared" si="19"/>
        <v>4.0491057874155634E-2</v>
      </c>
      <c r="AO24" s="98">
        <f t="shared" si="20"/>
        <v>446.04</v>
      </c>
      <c r="AP24" s="102">
        <f t="shared" si="21"/>
        <v>4.0791018732921437E-2</v>
      </c>
      <c r="AQ24" s="98">
        <f t="shared" si="22"/>
        <v>-3.2799999999979832</v>
      </c>
      <c r="AR24" s="101">
        <f t="shared" si="23"/>
        <v>-3.1271689967870089E-4</v>
      </c>
      <c r="AS24" s="11"/>
      <c r="AT24" s="2">
        <v>18</v>
      </c>
      <c r="AU24" s="5">
        <f t="shared" si="40"/>
        <v>35825</v>
      </c>
      <c r="AV24" s="62"/>
      <c r="AW24" s="61"/>
      <c r="AX24" s="61"/>
      <c r="AY24" s="3">
        <f t="shared" si="24"/>
        <v>0</v>
      </c>
      <c r="AZ24" s="3">
        <f t="shared" si="25"/>
        <v>0</v>
      </c>
      <c r="BA24" s="3">
        <f t="shared" si="26"/>
        <v>2172.89</v>
      </c>
      <c r="BB24" s="3">
        <f t="shared" si="27"/>
        <v>33652.11</v>
      </c>
      <c r="BC24" s="61">
        <v>33637</v>
      </c>
      <c r="BD24" s="98">
        <f t="shared" si="28"/>
        <v>-15.110000000000582</v>
      </c>
      <c r="BE24" s="102">
        <f t="shared" si="29"/>
        <v>-6.9538724923951896E-3</v>
      </c>
      <c r="BF24" s="98">
        <f t="shared" si="30"/>
        <v>0</v>
      </c>
      <c r="BG24" s="102">
        <f t="shared" si="31"/>
        <v>0</v>
      </c>
      <c r="BH24" s="98">
        <f t="shared" si="32"/>
        <v>-15.110000000000582</v>
      </c>
      <c r="BI24" s="101">
        <f t="shared" si="33"/>
        <v>-6.9538724923951896E-3</v>
      </c>
      <c r="BJ24" s="11"/>
    </row>
    <row r="25" spans="1:62" x14ac:dyDescent="0.25">
      <c r="A25" s="1">
        <f t="shared" si="34"/>
        <v>45615</v>
      </c>
      <c r="B25" s="59">
        <f>3961.27-C25</f>
        <v>3752.82</v>
      </c>
      <c r="C25" s="59">
        <v>208.45</v>
      </c>
      <c r="D25" s="59">
        <f>10329.09-E25</f>
        <v>9863.9</v>
      </c>
      <c r="E25" s="59">
        <v>465.19</v>
      </c>
      <c r="F25" s="59">
        <f>2944.24-G25</f>
        <v>2846.12</v>
      </c>
      <c r="G25" s="59">
        <v>98.12</v>
      </c>
      <c r="H25" s="59">
        <v>2385</v>
      </c>
      <c r="I25" s="60">
        <v>26.9</v>
      </c>
      <c r="J25" s="60">
        <v>23.99</v>
      </c>
      <c r="K25" s="60">
        <v>27.19</v>
      </c>
      <c r="L25" s="2">
        <v>19</v>
      </c>
      <c r="M25" s="5">
        <f t="shared" si="35"/>
        <v>15851</v>
      </c>
      <c r="N25" s="61">
        <v>20725</v>
      </c>
      <c r="O25" s="61">
        <v>20760</v>
      </c>
      <c r="P25" s="61"/>
      <c r="Q25" s="3">
        <f t="shared" si="5"/>
        <v>35</v>
      </c>
      <c r="R25" s="3">
        <f t="shared" si="6"/>
        <v>35</v>
      </c>
      <c r="S25" s="3">
        <f t="shared" si="7"/>
        <v>3752.82</v>
      </c>
      <c r="T25" s="3">
        <f t="shared" si="8"/>
        <v>32649.73</v>
      </c>
      <c r="U25" s="61">
        <v>32857</v>
      </c>
      <c r="V25" s="98">
        <f t="shared" si="9"/>
        <v>207.27000000000044</v>
      </c>
      <c r="W25" s="102">
        <f t="shared" si="10"/>
        <v>5.2324128372971408E-2</v>
      </c>
      <c r="X25" s="98">
        <f t="shared" si="11"/>
        <v>208.45</v>
      </c>
      <c r="Y25" s="102">
        <f t="shared" si="12"/>
        <v>5.262201263736125E-2</v>
      </c>
      <c r="Z25" s="98">
        <f t="shared" si="13"/>
        <v>-1.1799999999995521</v>
      </c>
      <c r="AA25" s="101">
        <f t="shared" si="14"/>
        <v>-3.1443021514475833E-4</v>
      </c>
      <c r="AB25" s="11"/>
      <c r="AC25" s="2">
        <v>19</v>
      </c>
      <c r="AD25" s="5">
        <f t="shared" si="39"/>
        <v>43292</v>
      </c>
      <c r="AE25" s="62">
        <v>20721</v>
      </c>
      <c r="AF25" s="61">
        <v>20711</v>
      </c>
      <c r="AG25" s="61"/>
      <c r="AH25" s="3">
        <f t="shared" si="15"/>
        <v>-10</v>
      </c>
      <c r="AI25" s="3">
        <f t="shared" si="16"/>
        <v>-10</v>
      </c>
      <c r="AJ25" s="3">
        <f t="shared" si="17"/>
        <v>9863.9</v>
      </c>
      <c r="AK25" s="3">
        <f t="shared" si="18"/>
        <v>53673.91</v>
      </c>
      <c r="AL25" s="61">
        <v>54136</v>
      </c>
      <c r="AM25" s="98">
        <f t="shared" si="41"/>
        <v>462.08999999999651</v>
      </c>
      <c r="AN25" s="102">
        <f t="shared" si="19"/>
        <v>4.4736758029990685E-2</v>
      </c>
      <c r="AO25" s="98">
        <f t="shared" si="20"/>
        <v>465.19</v>
      </c>
      <c r="AP25" s="102">
        <f t="shared" si="21"/>
        <v>4.5036881274149031E-2</v>
      </c>
      <c r="AQ25" s="98">
        <f t="shared" si="22"/>
        <v>-3.1000000000034902</v>
      </c>
      <c r="AR25" s="101">
        <f t="shared" si="23"/>
        <v>-3.1427731424725415E-4</v>
      </c>
      <c r="AS25" s="11"/>
      <c r="AT25" s="2">
        <v>19</v>
      </c>
      <c r="AU25" s="5">
        <f t="shared" si="40"/>
        <v>33637</v>
      </c>
      <c r="AV25" s="62"/>
      <c r="AW25" s="61"/>
      <c r="AX25" s="61"/>
      <c r="AY25" s="3">
        <f t="shared" si="24"/>
        <v>0</v>
      </c>
      <c r="AZ25" s="3">
        <f t="shared" si="25"/>
        <v>0</v>
      </c>
      <c r="BA25" s="3">
        <f t="shared" si="26"/>
        <v>2846.12</v>
      </c>
      <c r="BB25" s="3">
        <f t="shared" si="27"/>
        <v>30692.760000000002</v>
      </c>
      <c r="BC25" s="61">
        <v>30790</v>
      </c>
      <c r="BD25" s="98">
        <f t="shared" si="28"/>
        <v>97.239999999997963</v>
      </c>
      <c r="BE25" s="102">
        <f t="shared" si="29"/>
        <v>3.3027198869656674E-2</v>
      </c>
      <c r="BF25" s="98">
        <f t="shared" si="30"/>
        <v>98.12</v>
      </c>
      <c r="BG25" s="102">
        <f t="shared" si="31"/>
        <v>3.3326087547210829E-2</v>
      </c>
      <c r="BH25" s="98">
        <f t="shared" si="32"/>
        <v>-0.88000000000204182</v>
      </c>
      <c r="BI25" s="101">
        <f t="shared" si="33"/>
        <v>-3.0919286607804372E-4</v>
      </c>
      <c r="BJ25" s="11"/>
    </row>
    <row r="26" spans="1:62" x14ac:dyDescent="0.25">
      <c r="A26" s="4">
        <f t="shared" si="34"/>
        <v>45616</v>
      </c>
      <c r="B26" s="66">
        <f>3645.68-C26</f>
        <v>3491.5699999999997</v>
      </c>
      <c r="C26" s="63">
        <v>154.11000000000001</v>
      </c>
      <c r="D26" s="63">
        <f>10447.79-E26</f>
        <v>9932.4900000000016</v>
      </c>
      <c r="E26" s="63">
        <v>515.29999999999995</v>
      </c>
      <c r="F26" s="63">
        <f>2055.26-G26</f>
        <v>2006.8900000000003</v>
      </c>
      <c r="G26" s="63">
        <v>48.37</v>
      </c>
      <c r="H26" s="63">
        <v>5436</v>
      </c>
      <c r="I26" s="65">
        <v>26.9</v>
      </c>
      <c r="J26" s="65">
        <v>23.99</v>
      </c>
      <c r="K26" s="65">
        <v>27.19</v>
      </c>
      <c r="L26" s="2">
        <v>20</v>
      </c>
      <c r="M26" s="5">
        <f t="shared" si="35"/>
        <v>32857</v>
      </c>
      <c r="N26" s="61"/>
      <c r="O26" s="61"/>
      <c r="P26" s="61"/>
      <c r="Q26" s="3">
        <f t="shared" si="5"/>
        <v>0</v>
      </c>
      <c r="R26" s="3">
        <f t="shared" si="6"/>
        <v>0</v>
      </c>
      <c r="S26" s="3">
        <f t="shared" si="7"/>
        <v>3491.5699999999997</v>
      </c>
      <c r="T26" s="3">
        <f t="shared" si="8"/>
        <v>29211.32</v>
      </c>
      <c r="U26" s="61">
        <v>29367</v>
      </c>
      <c r="V26" s="98">
        <f t="shared" si="9"/>
        <v>155.68000000000029</v>
      </c>
      <c r="W26" s="102">
        <f t="shared" si="10"/>
        <v>4.2702595949178287E-2</v>
      </c>
      <c r="X26" s="98">
        <f t="shared" si="11"/>
        <v>154.11000000000001</v>
      </c>
      <c r="Y26" s="102">
        <f t="shared" si="12"/>
        <v>4.227194926598056E-2</v>
      </c>
      <c r="Z26" s="98">
        <f t="shared" si="13"/>
        <v>1.5700000000002774</v>
      </c>
      <c r="AA26" s="101">
        <f t="shared" si="14"/>
        <v>4.4965445344079529E-4</v>
      </c>
      <c r="AB26" s="11"/>
      <c r="AC26" s="2">
        <v>20</v>
      </c>
      <c r="AD26" s="5">
        <f t="shared" si="39"/>
        <v>54136</v>
      </c>
      <c r="AE26" s="62"/>
      <c r="AF26" s="61"/>
      <c r="AG26" s="61"/>
      <c r="AH26" s="3">
        <f t="shared" si="15"/>
        <v>0</v>
      </c>
      <c r="AI26" s="3">
        <f t="shared" si="16"/>
        <v>0</v>
      </c>
      <c r="AJ26" s="3">
        <f t="shared" si="17"/>
        <v>9932.4900000000016</v>
      </c>
      <c r="AK26" s="3">
        <f t="shared" si="18"/>
        <v>43688.21</v>
      </c>
      <c r="AL26" s="61">
        <v>44208</v>
      </c>
      <c r="AM26" s="98">
        <f t="shared" si="41"/>
        <v>519.79000000000087</v>
      </c>
      <c r="AN26" s="102">
        <f t="shared" si="19"/>
        <v>4.9751191400286644E-2</v>
      </c>
      <c r="AO26" s="98">
        <f t="shared" si="20"/>
        <v>515.29999999999995</v>
      </c>
      <c r="AP26" s="102">
        <f t="shared" si="21"/>
        <v>4.9321435442327984E-2</v>
      </c>
      <c r="AQ26" s="98">
        <f t="shared" si="22"/>
        <v>4.4900000000009186</v>
      </c>
      <c r="AR26" s="101">
        <f t="shared" si="23"/>
        <v>4.5205180171345937E-4</v>
      </c>
      <c r="AS26" s="11"/>
      <c r="AT26" s="2">
        <v>20</v>
      </c>
      <c r="AU26" s="5">
        <f t="shared" si="40"/>
        <v>30790</v>
      </c>
      <c r="AV26" s="62"/>
      <c r="AW26" s="61"/>
      <c r="AX26" s="61"/>
      <c r="AY26" s="3">
        <f t="shared" si="24"/>
        <v>0</v>
      </c>
      <c r="AZ26" s="3">
        <f t="shared" si="25"/>
        <v>0</v>
      </c>
      <c r="BA26" s="3">
        <f t="shared" si="26"/>
        <v>2006.8900000000003</v>
      </c>
      <c r="BB26" s="3">
        <f t="shared" si="27"/>
        <v>28734.739999999998</v>
      </c>
      <c r="BC26" s="61">
        <v>28784</v>
      </c>
      <c r="BD26" s="98">
        <f t="shared" si="28"/>
        <v>49.260000000002037</v>
      </c>
      <c r="BE26" s="102">
        <f t="shared" si="29"/>
        <v>2.3967770501056817E-2</v>
      </c>
      <c r="BF26" s="98">
        <f t="shared" si="30"/>
        <v>48.37</v>
      </c>
      <c r="BG26" s="102">
        <f t="shared" si="31"/>
        <v>2.3534735264638045E-2</v>
      </c>
      <c r="BH26" s="98">
        <f t="shared" si="32"/>
        <v>0.89000000000203983</v>
      </c>
      <c r="BI26" s="101">
        <f t="shared" si="33"/>
        <v>4.4347223814062537E-4</v>
      </c>
      <c r="BJ26" s="11"/>
    </row>
    <row r="27" spans="1:62" x14ac:dyDescent="0.25">
      <c r="A27" s="1">
        <f t="shared" si="34"/>
        <v>45617</v>
      </c>
      <c r="B27" s="59">
        <f>4473.45-C27</f>
        <v>4264.55</v>
      </c>
      <c r="C27" s="59">
        <v>208.9</v>
      </c>
      <c r="D27" s="59">
        <f>9974.97-E27</f>
        <v>9563</v>
      </c>
      <c r="E27" s="59">
        <v>411.97</v>
      </c>
      <c r="F27" s="59">
        <f>1023.43-G27</f>
        <v>1009.9</v>
      </c>
      <c r="G27" s="59">
        <v>13.53</v>
      </c>
      <c r="H27" s="59">
        <v>3415</v>
      </c>
      <c r="I27" s="60">
        <v>27</v>
      </c>
      <c r="J27" s="60">
        <v>23.99</v>
      </c>
      <c r="K27" s="60">
        <v>27.29</v>
      </c>
      <c r="L27" s="2">
        <v>21</v>
      </c>
      <c r="M27" s="5">
        <f t="shared" si="35"/>
        <v>29367</v>
      </c>
      <c r="N27" s="61"/>
      <c r="O27" s="61"/>
      <c r="P27" s="61"/>
      <c r="Q27" s="3">
        <f t="shared" si="5"/>
        <v>0</v>
      </c>
      <c r="R27" s="3">
        <f t="shared" si="6"/>
        <v>0</v>
      </c>
      <c r="S27" s="3">
        <f t="shared" si="7"/>
        <v>4264.55</v>
      </c>
      <c r="T27" s="3">
        <f t="shared" si="8"/>
        <v>24893.55</v>
      </c>
      <c r="U27" s="61">
        <v>25102</v>
      </c>
      <c r="V27" s="98">
        <f t="shared" si="9"/>
        <v>208.45000000000073</v>
      </c>
      <c r="W27" s="102">
        <f t="shared" si="10"/>
        <v>4.6597145379964178E-2</v>
      </c>
      <c r="X27" s="98">
        <f t="shared" si="11"/>
        <v>208.9</v>
      </c>
      <c r="Y27" s="102">
        <f t="shared" si="12"/>
        <v>4.6697738881623804E-2</v>
      </c>
      <c r="Z27" s="98">
        <f t="shared" si="13"/>
        <v>-0.44999999999927809</v>
      </c>
      <c r="AA27" s="101">
        <f t="shared" si="14"/>
        <v>-1.0552109835721894E-4</v>
      </c>
      <c r="AB27" s="11"/>
      <c r="AC27" s="2">
        <v>21</v>
      </c>
      <c r="AD27" s="5">
        <f t="shared" si="39"/>
        <v>44208</v>
      </c>
      <c r="AE27" s="62">
        <v>20733</v>
      </c>
      <c r="AF27" s="61">
        <v>20734</v>
      </c>
      <c r="AG27" s="61"/>
      <c r="AH27" s="3">
        <f t="shared" si="15"/>
        <v>1</v>
      </c>
      <c r="AI27" s="3">
        <f t="shared" si="16"/>
        <v>1</v>
      </c>
      <c r="AJ27" s="3">
        <f t="shared" si="17"/>
        <v>9563</v>
      </c>
      <c r="AK27" s="3">
        <f t="shared" si="18"/>
        <v>54967.03</v>
      </c>
      <c r="AL27" s="61">
        <v>55378</v>
      </c>
      <c r="AM27" s="98">
        <f t="shared" si="41"/>
        <v>410.97000000000116</v>
      </c>
      <c r="AN27" s="102">
        <f t="shared" si="19"/>
        <v>4.120012391014722E-2</v>
      </c>
      <c r="AO27" s="98">
        <f t="shared" si="20"/>
        <v>411.97</v>
      </c>
      <c r="AP27" s="102">
        <f t="shared" si="21"/>
        <v>4.1300374838220071E-2</v>
      </c>
      <c r="AQ27" s="98">
        <f t="shared" si="22"/>
        <v>-0.99999999999886313</v>
      </c>
      <c r="AR27" s="101">
        <f t="shared" si="23"/>
        <v>-1.0456969570206663E-4</v>
      </c>
      <c r="AS27" s="11"/>
      <c r="AT27" s="2">
        <v>21</v>
      </c>
      <c r="AU27" s="5">
        <f t="shared" si="40"/>
        <v>28784</v>
      </c>
      <c r="AV27" s="62"/>
      <c r="AW27" s="61"/>
      <c r="AX27" s="61"/>
      <c r="AY27" s="3">
        <f t="shared" si="24"/>
        <v>0</v>
      </c>
      <c r="AZ27" s="3">
        <f t="shared" si="25"/>
        <v>0</v>
      </c>
      <c r="BA27" s="3">
        <f t="shared" si="26"/>
        <v>1009.9</v>
      </c>
      <c r="BB27" s="3">
        <f t="shared" si="27"/>
        <v>27760.57</v>
      </c>
      <c r="BC27" s="61">
        <v>27774</v>
      </c>
      <c r="BD27" s="98">
        <f t="shared" si="28"/>
        <v>13.430000000000291</v>
      </c>
      <c r="BE27" s="102">
        <f t="shared" si="29"/>
        <v>1.312253891326255E-2</v>
      </c>
      <c r="BF27" s="98">
        <f t="shared" si="30"/>
        <v>13.53</v>
      </c>
      <c r="BG27" s="102">
        <f t="shared" si="31"/>
        <v>1.3220249552973823E-2</v>
      </c>
      <c r="BH27" s="98">
        <f t="shared" si="32"/>
        <v>-9.9999999999708322E-2</v>
      </c>
      <c r="BI27" s="101">
        <f t="shared" si="33"/>
        <v>-9.9019704920990512E-5</v>
      </c>
      <c r="BJ27" s="11"/>
    </row>
    <row r="28" spans="1:62" x14ac:dyDescent="0.25">
      <c r="A28" s="4">
        <f t="shared" si="34"/>
        <v>45618</v>
      </c>
      <c r="B28" s="63">
        <f>4296.59-C28</f>
        <v>4088.9900000000002</v>
      </c>
      <c r="C28" s="63">
        <v>207.6</v>
      </c>
      <c r="D28" s="63">
        <f>11870.46-E28</f>
        <v>11304.72</v>
      </c>
      <c r="E28" s="63">
        <v>565.74</v>
      </c>
      <c r="F28" s="63">
        <f>4231.84-G28</f>
        <v>4160.97</v>
      </c>
      <c r="G28" s="63">
        <v>70.87</v>
      </c>
      <c r="H28" s="63">
        <v>4767</v>
      </c>
      <c r="I28" s="65">
        <v>27</v>
      </c>
      <c r="J28" s="65">
        <v>23.99</v>
      </c>
      <c r="K28" s="65">
        <v>27.29</v>
      </c>
      <c r="L28" s="2">
        <v>22</v>
      </c>
      <c r="M28" s="5">
        <f t="shared" si="35"/>
        <v>25102</v>
      </c>
      <c r="N28" s="61"/>
      <c r="O28" s="61"/>
      <c r="P28" s="61"/>
      <c r="Q28" s="3">
        <f t="shared" si="5"/>
        <v>0</v>
      </c>
      <c r="R28" s="3">
        <f t="shared" si="6"/>
        <v>0</v>
      </c>
      <c r="S28" s="3">
        <f t="shared" si="7"/>
        <v>4088.9900000000002</v>
      </c>
      <c r="T28" s="3">
        <f t="shared" si="8"/>
        <v>20805.41</v>
      </c>
      <c r="U28" s="61">
        <v>21014</v>
      </c>
      <c r="V28" s="98">
        <f t="shared" si="9"/>
        <v>208.59000000000015</v>
      </c>
      <c r="W28" s="102">
        <f t="shared" si="10"/>
        <v>4.8547801861476225E-2</v>
      </c>
      <c r="X28" s="98">
        <f t="shared" si="11"/>
        <v>207.6</v>
      </c>
      <c r="Y28" s="102">
        <f t="shared" si="12"/>
        <v>4.8317386578658889E-2</v>
      </c>
      <c r="Z28" s="98">
        <f t="shared" si="13"/>
        <v>0.9900000000001512</v>
      </c>
      <c r="AA28" s="101">
        <f t="shared" si="14"/>
        <v>2.4211357816970722E-4</v>
      </c>
      <c r="AB28" s="11"/>
      <c r="AC28" s="2">
        <v>22</v>
      </c>
      <c r="AD28" s="5">
        <f t="shared" si="39"/>
        <v>55378</v>
      </c>
      <c r="AE28" s="62"/>
      <c r="AF28" s="61"/>
      <c r="AG28" s="61"/>
      <c r="AH28" s="3">
        <f t="shared" si="15"/>
        <v>0</v>
      </c>
      <c r="AI28" s="3">
        <f t="shared" si="16"/>
        <v>0</v>
      </c>
      <c r="AJ28" s="3">
        <f t="shared" si="17"/>
        <v>11304.72</v>
      </c>
      <c r="AK28" s="3">
        <f t="shared" si="18"/>
        <v>43507.54</v>
      </c>
      <c r="AL28" s="61">
        <v>44076</v>
      </c>
      <c r="AM28" s="98">
        <f t="shared" si="41"/>
        <v>568.45999999999913</v>
      </c>
      <c r="AN28" s="102">
        <f t="shared" si="19"/>
        <v>4.7888624366705178E-2</v>
      </c>
      <c r="AO28" s="98">
        <f t="shared" si="20"/>
        <v>565.74</v>
      </c>
      <c r="AP28" s="102">
        <f t="shared" si="21"/>
        <v>4.7659484131196271E-2</v>
      </c>
      <c r="AQ28" s="98">
        <f t="shared" si="22"/>
        <v>2.7199999999991178</v>
      </c>
      <c r="AR28" s="101">
        <f t="shared" si="23"/>
        <v>2.4060746307729143E-4</v>
      </c>
      <c r="AS28" s="11"/>
      <c r="AT28" s="2">
        <v>22</v>
      </c>
      <c r="AU28" s="5">
        <f t="shared" si="40"/>
        <v>27774</v>
      </c>
      <c r="AV28" s="62"/>
      <c r="AW28" s="61"/>
      <c r="AX28" s="61"/>
      <c r="AY28" s="3">
        <f t="shared" si="24"/>
        <v>0</v>
      </c>
      <c r="AZ28" s="3">
        <f t="shared" si="25"/>
        <v>0</v>
      </c>
      <c r="BA28" s="3">
        <f t="shared" si="26"/>
        <v>4160.97</v>
      </c>
      <c r="BB28" s="3">
        <f t="shared" si="27"/>
        <v>23542.16</v>
      </c>
      <c r="BC28" s="61">
        <v>23614</v>
      </c>
      <c r="BD28" s="98">
        <f t="shared" si="28"/>
        <v>71.840000000000146</v>
      </c>
      <c r="BE28" s="102">
        <f t="shared" si="29"/>
        <v>1.6976067148096369E-2</v>
      </c>
      <c r="BF28" s="98">
        <f t="shared" si="30"/>
        <v>70.87</v>
      </c>
      <c r="BG28" s="102">
        <f t="shared" si="31"/>
        <v>1.6746852432984235E-2</v>
      </c>
      <c r="BH28" s="98">
        <f t="shared" si="32"/>
        <v>0.97000000000014097</v>
      </c>
      <c r="BI28" s="101">
        <f t="shared" si="33"/>
        <v>2.331187199139001E-4</v>
      </c>
      <c r="BJ28" s="11"/>
    </row>
    <row r="29" spans="1:62" x14ac:dyDescent="0.25">
      <c r="A29" s="1">
        <f t="shared" si="34"/>
        <v>45619</v>
      </c>
      <c r="B29" s="59">
        <f>4183.8-C29</f>
        <v>3955.29</v>
      </c>
      <c r="C29" s="59">
        <v>228.51</v>
      </c>
      <c r="D29" s="59">
        <f>9197.23-E29</f>
        <v>8817.43</v>
      </c>
      <c r="E29" s="59">
        <v>379.8</v>
      </c>
      <c r="F29" s="59">
        <f>253.99-G29</f>
        <v>253.99</v>
      </c>
      <c r="G29" s="59">
        <v>0</v>
      </c>
      <c r="H29" s="59">
        <v>6257</v>
      </c>
      <c r="I29" s="60">
        <v>27</v>
      </c>
      <c r="J29" s="60">
        <v>23.99</v>
      </c>
      <c r="K29" s="60">
        <v>27.29</v>
      </c>
      <c r="L29" s="2">
        <v>23</v>
      </c>
      <c r="M29" s="5">
        <f t="shared" si="35"/>
        <v>21014</v>
      </c>
      <c r="N29" s="61"/>
      <c r="O29" s="61"/>
      <c r="P29" s="61"/>
      <c r="Q29" s="3">
        <f t="shared" si="5"/>
        <v>0</v>
      </c>
      <c r="R29" s="3">
        <f t="shared" si="6"/>
        <v>0</v>
      </c>
      <c r="S29" s="3">
        <f t="shared" si="7"/>
        <v>3955.29</v>
      </c>
      <c r="T29" s="3">
        <f t="shared" si="8"/>
        <v>16830.2</v>
      </c>
      <c r="U29" s="61">
        <v>17058</v>
      </c>
      <c r="V29" s="98">
        <f t="shared" si="9"/>
        <v>227.79999999999927</v>
      </c>
      <c r="W29" s="102">
        <f t="shared" si="10"/>
        <v>5.4448109374252894E-2</v>
      </c>
      <c r="X29" s="98">
        <f t="shared" si="11"/>
        <v>228.51</v>
      </c>
      <c r="Y29" s="102">
        <f t="shared" si="12"/>
        <v>5.4617811558869925E-2</v>
      </c>
      <c r="Z29" s="98">
        <f t="shared" si="13"/>
        <v>-0.7100000000007185</v>
      </c>
      <c r="AA29" s="101">
        <f t="shared" si="14"/>
        <v>-1.7950643315678964E-4</v>
      </c>
      <c r="AB29" s="11"/>
      <c r="AC29" s="2">
        <v>23</v>
      </c>
      <c r="AD29" s="5">
        <f t="shared" si="39"/>
        <v>44076</v>
      </c>
      <c r="AE29" s="62">
        <v>31586</v>
      </c>
      <c r="AF29" s="61">
        <v>31714</v>
      </c>
      <c r="AG29" s="61"/>
      <c r="AH29" s="3">
        <f t="shared" si="15"/>
        <v>128</v>
      </c>
      <c r="AI29" s="3">
        <f t="shared" si="16"/>
        <v>128</v>
      </c>
      <c r="AJ29" s="3">
        <f t="shared" si="17"/>
        <v>8817.43</v>
      </c>
      <c r="AK29" s="3">
        <f t="shared" si="18"/>
        <v>66592.77</v>
      </c>
      <c r="AL29" s="61">
        <v>66971</v>
      </c>
      <c r="AM29" s="98">
        <f t="shared" si="41"/>
        <v>378.22999999999593</v>
      </c>
      <c r="AN29" s="102">
        <f t="shared" si="19"/>
        <v>4.1124338523663748E-2</v>
      </c>
      <c r="AO29" s="98">
        <f t="shared" si="20"/>
        <v>379.8</v>
      </c>
      <c r="AP29" s="102">
        <f t="shared" si="21"/>
        <v>4.1295042094195752E-2</v>
      </c>
      <c r="AQ29" s="98">
        <f t="shared" si="22"/>
        <v>-1.5700000000040859</v>
      </c>
      <c r="AR29" s="101">
        <f t="shared" si="23"/>
        <v>-1.7805641780020776E-4</v>
      </c>
      <c r="AS29" s="11"/>
      <c r="AT29" s="2">
        <v>23</v>
      </c>
      <c r="AU29" s="5">
        <f t="shared" si="40"/>
        <v>23614</v>
      </c>
      <c r="AV29" s="62"/>
      <c r="AW29" s="61"/>
      <c r="AX29" s="61"/>
      <c r="AY29" s="3">
        <f t="shared" si="24"/>
        <v>0</v>
      </c>
      <c r="AZ29" s="3">
        <f t="shared" si="25"/>
        <v>0</v>
      </c>
      <c r="BA29" s="3">
        <f t="shared" si="26"/>
        <v>253.99</v>
      </c>
      <c r="BB29" s="3">
        <f t="shared" si="27"/>
        <v>23360.01</v>
      </c>
      <c r="BC29" s="61">
        <v>23349</v>
      </c>
      <c r="BD29" s="98">
        <f t="shared" si="28"/>
        <v>-11.009999999998399</v>
      </c>
      <c r="BE29" s="102">
        <f t="shared" si="29"/>
        <v>-4.3348163313509977E-2</v>
      </c>
      <c r="BF29" s="98">
        <f t="shared" si="30"/>
        <v>0</v>
      </c>
      <c r="BG29" s="102">
        <f t="shared" si="31"/>
        <v>0</v>
      </c>
      <c r="BH29" s="98">
        <f t="shared" si="32"/>
        <v>-11.009999999998399</v>
      </c>
      <c r="BI29" s="101">
        <f t="shared" si="33"/>
        <v>-4.3348163313509977E-2</v>
      </c>
      <c r="BJ29" s="11"/>
    </row>
    <row r="30" spans="1:62" x14ac:dyDescent="0.25">
      <c r="A30" s="4">
        <f t="shared" si="34"/>
        <v>45620</v>
      </c>
      <c r="B30" s="63">
        <f>4047.09-C30</f>
        <v>3842.5</v>
      </c>
      <c r="C30" s="63">
        <v>204.59</v>
      </c>
      <c r="D30" s="63">
        <f>11286.44-E30</f>
        <v>10825.18</v>
      </c>
      <c r="E30" s="63">
        <v>461.26</v>
      </c>
      <c r="F30" s="63">
        <f>3072.63-G30</f>
        <v>3025.13</v>
      </c>
      <c r="G30" s="63">
        <v>47.5</v>
      </c>
      <c r="H30" s="63">
        <v>5802.01</v>
      </c>
      <c r="I30" s="65">
        <v>27</v>
      </c>
      <c r="J30" s="65">
        <v>23.99</v>
      </c>
      <c r="K30" s="65">
        <v>27.29</v>
      </c>
      <c r="L30" s="2">
        <v>24</v>
      </c>
      <c r="M30" s="5">
        <f t="shared" si="35"/>
        <v>17058</v>
      </c>
      <c r="N30" s="61"/>
      <c r="O30" s="61"/>
      <c r="P30" s="61"/>
      <c r="Q30" s="3">
        <f t="shared" si="5"/>
        <v>0</v>
      </c>
      <c r="R30" s="3">
        <f t="shared" si="6"/>
        <v>0</v>
      </c>
      <c r="S30" s="3">
        <f t="shared" si="7"/>
        <v>3842.5</v>
      </c>
      <c r="T30" s="3">
        <f t="shared" si="8"/>
        <v>13010.91</v>
      </c>
      <c r="U30" s="61">
        <v>13217</v>
      </c>
      <c r="V30" s="98">
        <f t="shared" si="9"/>
        <v>206.09000000000015</v>
      </c>
      <c r="W30" s="102">
        <f t="shared" si="10"/>
        <v>5.0923008877983969E-2</v>
      </c>
      <c r="X30" s="98">
        <f t="shared" si="11"/>
        <v>204.59</v>
      </c>
      <c r="Y30" s="102">
        <f t="shared" si="12"/>
        <v>5.0552372198295566E-2</v>
      </c>
      <c r="Z30" s="98">
        <f t="shared" si="13"/>
        <v>1.5000000000001421</v>
      </c>
      <c r="AA30" s="101">
        <f t="shared" si="14"/>
        <v>3.9037085230973122E-4</v>
      </c>
      <c r="AB30" s="11"/>
      <c r="AC30" s="2">
        <v>24</v>
      </c>
      <c r="AD30" s="5">
        <f t="shared" si="39"/>
        <v>66971</v>
      </c>
      <c r="AE30" s="62"/>
      <c r="AF30" s="61"/>
      <c r="AG30" s="61"/>
      <c r="AH30" s="3">
        <f t="shared" si="15"/>
        <v>0</v>
      </c>
      <c r="AI30" s="3">
        <f t="shared" si="16"/>
        <v>0</v>
      </c>
      <c r="AJ30" s="3">
        <f t="shared" si="17"/>
        <v>10825.18</v>
      </c>
      <c r="AK30" s="3">
        <f t="shared" si="18"/>
        <v>55684.56</v>
      </c>
      <c r="AL30" s="61">
        <v>56150</v>
      </c>
      <c r="AM30" s="98">
        <f t="shared" si="41"/>
        <v>465.44000000000233</v>
      </c>
      <c r="AN30" s="102">
        <f t="shared" si="19"/>
        <v>4.1238867171579548E-2</v>
      </c>
      <c r="AO30" s="98">
        <f t="shared" si="20"/>
        <v>461.26</v>
      </c>
      <c r="AP30" s="102">
        <f t="shared" si="21"/>
        <v>4.0868511240036716E-2</v>
      </c>
      <c r="AQ30" s="98">
        <f t="shared" si="22"/>
        <v>4.1800000000023374</v>
      </c>
      <c r="AR30" s="101">
        <f t="shared" si="23"/>
        <v>3.8613676631726559E-4</v>
      </c>
      <c r="AS30" s="11"/>
      <c r="AT30" s="2">
        <v>24</v>
      </c>
      <c r="AU30" s="5">
        <f t="shared" si="40"/>
        <v>23349</v>
      </c>
      <c r="AV30" s="62"/>
      <c r="AW30" s="61"/>
      <c r="AX30" s="61"/>
      <c r="AY30" s="3">
        <f t="shared" si="24"/>
        <v>0</v>
      </c>
      <c r="AZ30" s="3">
        <f t="shared" si="25"/>
        <v>0</v>
      </c>
      <c r="BA30" s="3">
        <f t="shared" si="26"/>
        <v>3025.13</v>
      </c>
      <c r="BB30" s="3">
        <f t="shared" si="27"/>
        <v>20276.37</v>
      </c>
      <c r="BC30" s="61">
        <v>20325</v>
      </c>
      <c r="BD30" s="98">
        <f t="shared" si="28"/>
        <v>48.630000000001019</v>
      </c>
      <c r="BE30" s="102">
        <f t="shared" si="29"/>
        <v>1.5826832387889532E-2</v>
      </c>
      <c r="BF30" s="98">
        <f t="shared" si="30"/>
        <v>47.5</v>
      </c>
      <c r="BG30" s="102">
        <f t="shared" si="31"/>
        <v>1.5459069266393935E-2</v>
      </c>
      <c r="BH30" s="98">
        <f t="shared" si="32"/>
        <v>1.1300000000010186</v>
      </c>
      <c r="BI30" s="101">
        <f t="shared" si="33"/>
        <v>3.7353766615022121E-4</v>
      </c>
      <c r="BJ30" s="11"/>
    </row>
    <row r="31" spans="1:62" x14ac:dyDescent="0.25">
      <c r="A31" s="1">
        <f t="shared" si="34"/>
        <v>45621</v>
      </c>
      <c r="B31" s="59">
        <f>3360.32-C31</f>
        <v>3175.2200000000003</v>
      </c>
      <c r="C31" s="59">
        <v>185.1</v>
      </c>
      <c r="D31" s="59">
        <f>9509.33-E31</f>
        <v>9115.81</v>
      </c>
      <c r="E31" s="59">
        <v>393.52</v>
      </c>
      <c r="F31" s="59">
        <f>921.99-G31</f>
        <v>845.86</v>
      </c>
      <c r="G31" s="59">
        <v>76.13</v>
      </c>
      <c r="H31" s="59">
        <v>1744.01</v>
      </c>
      <c r="I31" s="60">
        <v>27</v>
      </c>
      <c r="J31" s="60">
        <v>23.99</v>
      </c>
      <c r="K31" s="60">
        <v>27.29</v>
      </c>
      <c r="L31" s="2">
        <v>25</v>
      </c>
      <c r="M31" s="5">
        <f t="shared" si="35"/>
        <v>13217</v>
      </c>
      <c r="N31" s="61"/>
      <c r="O31" s="61"/>
      <c r="P31" s="61"/>
      <c r="Q31" s="3">
        <f t="shared" si="5"/>
        <v>0</v>
      </c>
      <c r="R31" s="3">
        <f t="shared" si="6"/>
        <v>0</v>
      </c>
      <c r="S31" s="3">
        <f t="shared" si="7"/>
        <v>3175.2200000000003</v>
      </c>
      <c r="T31" s="3">
        <f t="shared" si="8"/>
        <v>9856.68</v>
      </c>
      <c r="U31" s="61">
        <v>10041</v>
      </c>
      <c r="V31" s="98">
        <f t="shared" si="9"/>
        <v>184.31999999999971</v>
      </c>
      <c r="W31" s="102">
        <f t="shared" si="10"/>
        <v>5.4851918864869925E-2</v>
      </c>
      <c r="X31" s="98">
        <f t="shared" si="11"/>
        <v>185.1</v>
      </c>
      <c r="Y31" s="102">
        <f t="shared" si="12"/>
        <v>5.5084039615274728E-2</v>
      </c>
      <c r="Z31" s="98">
        <f t="shared" si="13"/>
        <v>-0.78000000000028535</v>
      </c>
      <c r="AA31" s="101">
        <f t="shared" si="14"/>
        <v>-2.456522697640747E-4</v>
      </c>
      <c r="AB31" s="11"/>
      <c r="AC31" s="2">
        <v>25</v>
      </c>
      <c r="AD31" s="5">
        <f t="shared" si="39"/>
        <v>56150</v>
      </c>
      <c r="AE31" s="62"/>
      <c r="AF31" s="61"/>
      <c r="AG31" s="61"/>
      <c r="AH31" s="3">
        <f t="shared" si="15"/>
        <v>0</v>
      </c>
      <c r="AI31" s="3">
        <f t="shared" si="16"/>
        <v>0</v>
      </c>
      <c r="AJ31" s="3">
        <f t="shared" si="17"/>
        <v>9115.81</v>
      </c>
      <c r="AK31" s="3">
        <f t="shared" si="18"/>
        <v>46640.67</v>
      </c>
      <c r="AL31" s="61">
        <v>47032</v>
      </c>
      <c r="AM31" s="98">
        <f t="shared" si="41"/>
        <v>391.33000000000175</v>
      </c>
      <c r="AN31" s="102">
        <f t="shared" si="19"/>
        <v>4.1152215771248002E-2</v>
      </c>
      <c r="AO31" s="98">
        <f t="shared" si="20"/>
        <v>393.52</v>
      </c>
      <c r="AP31" s="102">
        <f t="shared" si="21"/>
        <v>4.1382515908060816E-2</v>
      </c>
      <c r="AQ31" s="98">
        <f t="shared" si="22"/>
        <v>-2.1899999999982356</v>
      </c>
      <c r="AR31" s="101">
        <f t="shared" si="23"/>
        <v>-2.4024195326561608E-4</v>
      </c>
      <c r="AS31" s="11"/>
      <c r="AT31" s="2">
        <v>25</v>
      </c>
      <c r="AU31" s="5">
        <f t="shared" si="40"/>
        <v>20325</v>
      </c>
      <c r="AV31" s="62"/>
      <c r="AW31" s="61"/>
      <c r="AX31" s="61"/>
      <c r="AY31" s="3">
        <f t="shared" si="24"/>
        <v>0</v>
      </c>
      <c r="AZ31" s="3">
        <f t="shared" si="25"/>
        <v>0</v>
      </c>
      <c r="BA31" s="3">
        <f t="shared" si="26"/>
        <v>845.86</v>
      </c>
      <c r="BB31" s="3">
        <f t="shared" si="27"/>
        <v>19403.009999999998</v>
      </c>
      <c r="BC31" s="61">
        <v>19398</v>
      </c>
      <c r="BD31" s="98">
        <f t="shared" si="28"/>
        <v>-5.0099999999983993</v>
      </c>
      <c r="BE31" s="102">
        <f t="shared" si="29"/>
        <v>-5.4338984153823782E-3</v>
      </c>
      <c r="BF31" s="98">
        <f t="shared" si="30"/>
        <v>76.13</v>
      </c>
      <c r="BG31" s="102">
        <f t="shared" si="31"/>
        <v>8.2571394483671179E-2</v>
      </c>
      <c r="BH31" s="98">
        <f t="shared" si="32"/>
        <v>-81.139999999998395</v>
      </c>
      <c r="BI31" s="101">
        <f t="shared" si="33"/>
        <v>-9.5926039770172833E-2</v>
      </c>
      <c r="BJ31" s="11"/>
    </row>
    <row r="32" spans="1:62" x14ac:dyDescent="0.25">
      <c r="A32" s="4">
        <f t="shared" si="34"/>
        <v>45622</v>
      </c>
      <c r="B32" s="63">
        <f>4047.39-C32</f>
        <v>3801.5</v>
      </c>
      <c r="C32" s="63">
        <v>245.89</v>
      </c>
      <c r="D32" s="63">
        <f>10105.68-E32</f>
        <v>9598.73</v>
      </c>
      <c r="E32" s="63">
        <v>506.95</v>
      </c>
      <c r="F32" s="63">
        <f>2459.74-G32</f>
        <v>2399.9199999999996</v>
      </c>
      <c r="G32" s="63">
        <v>59.82</v>
      </c>
      <c r="H32" s="63">
        <v>6265.14</v>
      </c>
      <c r="I32" s="65">
        <v>27</v>
      </c>
      <c r="J32" s="65">
        <v>23.99</v>
      </c>
      <c r="K32" s="65">
        <v>27.29</v>
      </c>
      <c r="L32" s="2">
        <v>26</v>
      </c>
      <c r="M32" s="5">
        <f t="shared" si="35"/>
        <v>10041</v>
      </c>
      <c r="N32" s="61"/>
      <c r="O32" s="61"/>
      <c r="P32" s="61"/>
      <c r="Q32" s="3">
        <f t="shared" si="5"/>
        <v>0</v>
      </c>
      <c r="R32" s="3">
        <f t="shared" si="6"/>
        <v>0</v>
      </c>
      <c r="S32" s="3">
        <f t="shared" si="7"/>
        <v>3801.5</v>
      </c>
      <c r="T32" s="3">
        <f t="shared" si="8"/>
        <v>5993.6100000000006</v>
      </c>
      <c r="U32" s="61">
        <v>6241</v>
      </c>
      <c r="V32" s="98">
        <f t="shared" si="9"/>
        <v>247.38999999999942</v>
      </c>
      <c r="W32" s="102">
        <f t="shared" si="10"/>
        <v>6.1123341214955669E-2</v>
      </c>
      <c r="X32" s="98">
        <f t="shared" si="11"/>
        <v>245.89</v>
      </c>
      <c r="Y32" s="102">
        <f t="shared" si="12"/>
        <v>6.0752732007540659E-2</v>
      </c>
      <c r="Z32" s="98">
        <f t="shared" si="13"/>
        <v>1.4999999999994316</v>
      </c>
      <c r="AA32" s="101">
        <f t="shared" si="14"/>
        <v>3.9458108641310841E-4</v>
      </c>
      <c r="AB32" s="11"/>
      <c r="AC32" s="2">
        <v>26</v>
      </c>
      <c r="AD32" s="5">
        <f t="shared" si="39"/>
        <v>47032</v>
      </c>
      <c r="AE32" s="62"/>
      <c r="AF32" s="61"/>
      <c r="AG32" s="61"/>
      <c r="AH32" s="3">
        <f t="shared" si="15"/>
        <v>0</v>
      </c>
      <c r="AI32" s="3">
        <f t="shared" si="16"/>
        <v>0</v>
      </c>
      <c r="AJ32" s="3">
        <f t="shared" si="17"/>
        <v>9598.73</v>
      </c>
      <c r="AK32" s="3">
        <f t="shared" si="18"/>
        <v>36926.32</v>
      </c>
      <c r="AL32" s="61">
        <v>37437</v>
      </c>
      <c r="AM32" s="98">
        <f t="shared" si="41"/>
        <v>510.68000000000029</v>
      </c>
      <c r="AN32" s="102">
        <f t="shared" si="19"/>
        <v>5.0533957140934629E-2</v>
      </c>
      <c r="AO32" s="98">
        <f t="shared" si="20"/>
        <v>506.95</v>
      </c>
      <c r="AP32" s="102">
        <f t="shared" si="21"/>
        <v>5.0164857782949782E-2</v>
      </c>
      <c r="AQ32" s="98">
        <f t="shared" si="22"/>
        <v>3.7300000000003024</v>
      </c>
      <c r="AR32" s="101">
        <f t="shared" si="23"/>
        <v>3.8859307429215144E-4</v>
      </c>
      <c r="AS32" s="11"/>
      <c r="AT32" s="2">
        <v>26</v>
      </c>
      <c r="AU32" s="5">
        <f t="shared" si="40"/>
        <v>19398</v>
      </c>
      <c r="AV32" s="62">
        <v>31812</v>
      </c>
      <c r="AW32" s="61">
        <v>32134</v>
      </c>
      <c r="AX32" s="61"/>
      <c r="AY32" s="3">
        <f t="shared" si="24"/>
        <v>322</v>
      </c>
      <c r="AZ32" s="3">
        <f t="shared" si="25"/>
        <v>322</v>
      </c>
      <c r="BA32" s="3">
        <f t="shared" si="26"/>
        <v>2399.9199999999996</v>
      </c>
      <c r="BB32" s="3">
        <f t="shared" si="27"/>
        <v>49072.26</v>
      </c>
      <c r="BC32" s="61">
        <v>49133</v>
      </c>
      <c r="BD32" s="98">
        <f t="shared" si="28"/>
        <v>60.739999999997963</v>
      </c>
      <c r="BE32" s="102">
        <f t="shared" si="29"/>
        <v>2.4693666810312459E-2</v>
      </c>
      <c r="BF32" s="98">
        <f t="shared" si="30"/>
        <v>59.82</v>
      </c>
      <c r="BG32" s="102">
        <f t="shared" si="31"/>
        <v>2.4319643539561096E-2</v>
      </c>
      <c r="BH32" s="98">
        <f t="shared" si="32"/>
        <v>0.91999999999796245</v>
      </c>
      <c r="BI32" s="101">
        <f t="shared" si="33"/>
        <v>3.8334611153620227E-4</v>
      </c>
      <c r="BJ32" s="11"/>
    </row>
    <row r="33" spans="1:62" x14ac:dyDescent="0.25">
      <c r="A33" s="1">
        <f t="shared" si="34"/>
        <v>45623</v>
      </c>
      <c r="B33" s="59">
        <f>3569.1-C33</f>
        <v>3362.93</v>
      </c>
      <c r="C33" s="59">
        <v>206.17</v>
      </c>
      <c r="D33" s="59">
        <f>11519.1-E33</f>
        <v>10912.54</v>
      </c>
      <c r="E33" s="59">
        <v>606.55999999999995</v>
      </c>
      <c r="F33" s="59">
        <f>2631.4-G33</f>
        <v>2532.2200000000003</v>
      </c>
      <c r="G33" s="59">
        <v>99.18</v>
      </c>
      <c r="H33" s="59">
        <v>6800.02</v>
      </c>
      <c r="I33" s="60">
        <v>27</v>
      </c>
      <c r="J33" s="60">
        <v>23.99</v>
      </c>
      <c r="K33" s="60">
        <v>27.29</v>
      </c>
      <c r="L33" s="2">
        <v>27</v>
      </c>
      <c r="M33" s="5">
        <f t="shared" si="35"/>
        <v>6241</v>
      </c>
      <c r="N33" s="61">
        <v>29296</v>
      </c>
      <c r="O33" s="61">
        <v>29227</v>
      </c>
      <c r="P33" s="61"/>
      <c r="Q33" s="3">
        <f t="shared" si="5"/>
        <v>-69</v>
      </c>
      <c r="R33" s="3">
        <f t="shared" si="6"/>
        <v>-69</v>
      </c>
      <c r="S33" s="3">
        <f t="shared" si="7"/>
        <v>3362.93</v>
      </c>
      <c r="T33" s="3">
        <f t="shared" si="8"/>
        <v>31898.9</v>
      </c>
      <c r="U33" s="61">
        <v>32104</v>
      </c>
      <c r="V33" s="98">
        <f t="shared" si="9"/>
        <v>205.09999999999854</v>
      </c>
      <c r="W33" s="102">
        <f t="shared" si="10"/>
        <v>5.7465467484799686E-2</v>
      </c>
      <c r="X33" s="98">
        <f t="shared" si="11"/>
        <v>206.17</v>
      </c>
      <c r="Y33" s="102">
        <f t="shared" si="12"/>
        <v>5.7765262951444338E-2</v>
      </c>
      <c r="Z33" s="98">
        <f t="shared" si="13"/>
        <v>-1.0700000000014427</v>
      </c>
      <c r="AA33" s="101">
        <f t="shared" si="14"/>
        <v>-3.1817492484275398E-4</v>
      </c>
      <c r="AB33" s="11"/>
      <c r="AC33" s="2">
        <v>27</v>
      </c>
      <c r="AD33" s="5">
        <f t="shared" si="39"/>
        <v>37437</v>
      </c>
      <c r="AE33" s="62"/>
      <c r="AF33" s="61"/>
      <c r="AG33" s="61"/>
      <c r="AH33" s="3">
        <f t="shared" si="15"/>
        <v>0</v>
      </c>
      <c r="AI33" s="3">
        <f t="shared" si="16"/>
        <v>0</v>
      </c>
      <c r="AJ33" s="3">
        <f t="shared" si="17"/>
        <v>10912.54</v>
      </c>
      <c r="AK33" s="3">
        <f t="shared" si="18"/>
        <v>25917.9</v>
      </c>
      <c r="AL33" s="61">
        <v>26521</v>
      </c>
      <c r="AM33" s="98">
        <f t="shared" si="41"/>
        <v>603.09999999999854</v>
      </c>
      <c r="AN33" s="102">
        <f t="shared" si="19"/>
        <v>5.2356520908751425E-2</v>
      </c>
      <c r="AO33" s="98">
        <f t="shared" si="20"/>
        <v>606.55999999999995</v>
      </c>
      <c r="AP33" s="102">
        <f t="shared" si="21"/>
        <v>5.2656891597433822E-2</v>
      </c>
      <c r="AQ33" s="98">
        <f t="shared" si="22"/>
        <v>-3.4600000000014006</v>
      </c>
      <c r="AR33" s="101">
        <f t="shared" si="23"/>
        <v>-3.1706642083340818E-4</v>
      </c>
      <c r="AS33" s="11"/>
      <c r="AT33" s="2">
        <v>27</v>
      </c>
      <c r="AU33" s="5">
        <f t="shared" si="40"/>
        <v>49133</v>
      </c>
      <c r="AV33" s="62"/>
      <c r="AW33" s="61"/>
      <c r="AX33" s="61"/>
      <c r="AY33" s="3">
        <f t="shared" si="24"/>
        <v>0</v>
      </c>
      <c r="AZ33" s="3">
        <f t="shared" si="25"/>
        <v>0</v>
      </c>
      <c r="BA33" s="3">
        <f t="shared" si="26"/>
        <v>2532.2200000000003</v>
      </c>
      <c r="BB33" s="3">
        <f t="shared" si="27"/>
        <v>46501.599999999999</v>
      </c>
      <c r="BC33" s="61">
        <v>46600</v>
      </c>
      <c r="BD33" s="98">
        <f t="shared" si="28"/>
        <v>98.400000000001455</v>
      </c>
      <c r="BE33" s="102">
        <f t="shared" si="29"/>
        <v>3.739454282891292E-2</v>
      </c>
      <c r="BF33" s="98">
        <f t="shared" si="30"/>
        <v>99.18</v>
      </c>
      <c r="BG33" s="102">
        <f t="shared" si="31"/>
        <v>3.7690962985483016E-2</v>
      </c>
      <c r="BH33" s="98">
        <f t="shared" si="32"/>
        <v>-0.77999999999855163</v>
      </c>
      <c r="BI33" s="101">
        <f t="shared" si="33"/>
        <v>-3.0803010796792994E-4</v>
      </c>
      <c r="BJ33" s="11"/>
    </row>
    <row r="34" spans="1:62" x14ac:dyDescent="0.25">
      <c r="A34" s="4">
        <f t="shared" si="34"/>
        <v>45624</v>
      </c>
      <c r="B34" s="63">
        <f>4134.12-C34</f>
        <v>3955.95</v>
      </c>
      <c r="C34" s="63">
        <v>178.17</v>
      </c>
      <c r="D34" s="63">
        <f>9807.27-E34</f>
        <v>9468.25</v>
      </c>
      <c r="E34" s="63">
        <v>339.02</v>
      </c>
      <c r="F34" s="63">
        <f>3294.66-G34</f>
        <v>3232.7599999999998</v>
      </c>
      <c r="G34" s="63">
        <v>61.9</v>
      </c>
      <c r="H34" s="63">
        <v>5651</v>
      </c>
      <c r="I34" s="65">
        <v>27</v>
      </c>
      <c r="J34" s="65">
        <v>23.99</v>
      </c>
      <c r="K34" s="65">
        <v>27.29</v>
      </c>
      <c r="L34" s="2">
        <v>28</v>
      </c>
      <c r="M34" s="5">
        <f t="shared" si="35"/>
        <v>32104</v>
      </c>
      <c r="N34" s="61"/>
      <c r="O34" s="61"/>
      <c r="P34" s="61"/>
      <c r="Q34" s="3">
        <f t="shared" si="5"/>
        <v>0</v>
      </c>
      <c r="R34" s="3">
        <f t="shared" si="6"/>
        <v>0</v>
      </c>
      <c r="S34" s="3">
        <f t="shared" si="7"/>
        <v>3955.95</v>
      </c>
      <c r="T34" s="3">
        <f t="shared" si="8"/>
        <v>27969.88</v>
      </c>
      <c r="U34" s="61">
        <v>28149</v>
      </c>
      <c r="V34" s="98">
        <f t="shared" si="9"/>
        <v>179.11999999999898</v>
      </c>
      <c r="W34" s="102">
        <f t="shared" si="10"/>
        <v>4.3327237719272535E-2</v>
      </c>
      <c r="X34" s="98">
        <f t="shared" si="11"/>
        <v>178.17</v>
      </c>
      <c r="Y34" s="102">
        <f t="shared" si="12"/>
        <v>4.3097442744767928E-2</v>
      </c>
      <c r="Z34" s="98">
        <f t="shared" si="13"/>
        <v>0.94999999999899387</v>
      </c>
      <c r="AA34" s="101">
        <f t="shared" si="14"/>
        <v>2.4014459232270225E-4</v>
      </c>
      <c r="AB34" s="11"/>
      <c r="AC34" s="2">
        <v>28</v>
      </c>
      <c r="AD34" s="5">
        <f t="shared" si="39"/>
        <v>26521</v>
      </c>
      <c r="AE34" s="62">
        <v>33064</v>
      </c>
      <c r="AF34" s="61">
        <v>33088</v>
      </c>
      <c r="AG34" s="61"/>
      <c r="AH34" s="3">
        <f t="shared" si="15"/>
        <v>24</v>
      </c>
      <c r="AI34" s="3">
        <f t="shared" si="16"/>
        <v>24</v>
      </c>
      <c r="AJ34" s="3">
        <f t="shared" si="17"/>
        <v>9468.25</v>
      </c>
      <c r="AK34" s="3">
        <f t="shared" si="18"/>
        <v>49801.729999999996</v>
      </c>
      <c r="AL34" s="61">
        <v>50143</v>
      </c>
      <c r="AM34" s="98">
        <f t="shared" si="41"/>
        <v>341.27000000000407</v>
      </c>
      <c r="AN34" s="102">
        <f t="shared" si="19"/>
        <v>3.4797655208840386E-2</v>
      </c>
      <c r="AO34" s="98">
        <f t="shared" si="20"/>
        <v>339.02</v>
      </c>
      <c r="AP34" s="102">
        <f t="shared" si="21"/>
        <v>3.4568233565508033E-2</v>
      </c>
      <c r="AQ34" s="98">
        <f t="shared" si="22"/>
        <v>2.2500000000040927</v>
      </c>
      <c r="AR34" s="101">
        <f t="shared" si="23"/>
        <v>2.3763631082872682E-4</v>
      </c>
      <c r="AS34" s="11"/>
      <c r="AT34" s="2">
        <v>28</v>
      </c>
      <c r="AU34" s="5">
        <f t="shared" si="40"/>
        <v>46600</v>
      </c>
      <c r="AV34" s="62"/>
      <c r="AW34" s="61"/>
      <c r="AX34" s="61"/>
      <c r="AY34" s="3">
        <f t="shared" si="24"/>
        <v>0</v>
      </c>
      <c r="AZ34" s="3">
        <f t="shared" si="25"/>
        <v>0</v>
      </c>
      <c r="BA34" s="3">
        <f t="shared" si="26"/>
        <v>3232.7599999999998</v>
      </c>
      <c r="BB34" s="3">
        <f t="shared" si="27"/>
        <v>43305.34</v>
      </c>
      <c r="BC34" s="61">
        <v>43368</v>
      </c>
      <c r="BD34" s="98">
        <f t="shared" si="28"/>
        <v>62.660000000003492</v>
      </c>
      <c r="BE34" s="102">
        <f t="shared" si="29"/>
        <v>1.9018654428682624E-2</v>
      </c>
      <c r="BF34" s="98">
        <f t="shared" si="30"/>
        <v>61.9</v>
      </c>
      <c r="BG34" s="102">
        <f t="shared" si="31"/>
        <v>1.8787978122173456E-2</v>
      </c>
      <c r="BH34" s="98">
        <f t="shared" si="32"/>
        <v>0.76000000000349388</v>
      </c>
      <c r="BI34" s="101">
        <f t="shared" si="33"/>
        <v>2.3509323302796804E-4</v>
      </c>
      <c r="BJ34" s="11"/>
    </row>
    <row r="35" spans="1:62" x14ac:dyDescent="0.25">
      <c r="A35" s="1">
        <f t="shared" si="34"/>
        <v>45625</v>
      </c>
      <c r="B35" s="59">
        <f>4150.31-C35</f>
        <v>3950.4600000000005</v>
      </c>
      <c r="C35" s="59">
        <v>199.85</v>
      </c>
      <c r="D35" s="59">
        <f>11342.58-E35</f>
        <v>10835.789999999999</v>
      </c>
      <c r="E35" s="59">
        <v>506.79</v>
      </c>
      <c r="F35" s="59">
        <f>933.1-G35</f>
        <v>923.66</v>
      </c>
      <c r="G35" s="59">
        <v>9.44</v>
      </c>
      <c r="H35" s="59">
        <v>6968.01</v>
      </c>
      <c r="I35" s="60">
        <v>27</v>
      </c>
      <c r="J35" s="60">
        <v>23.99</v>
      </c>
      <c r="K35" s="60">
        <v>27.29</v>
      </c>
      <c r="L35" s="2">
        <v>29</v>
      </c>
      <c r="M35" s="5">
        <f t="shared" si="35"/>
        <v>28149</v>
      </c>
      <c r="N35" s="61"/>
      <c r="O35" s="61"/>
      <c r="P35" s="61"/>
      <c r="Q35" s="3">
        <f t="shared" si="5"/>
        <v>0</v>
      </c>
      <c r="R35" s="3">
        <f t="shared" si="6"/>
        <v>0</v>
      </c>
      <c r="S35" s="3">
        <f t="shared" si="7"/>
        <v>3950.4600000000005</v>
      </c>
      <c r="T35" s="3">
        <f t="shared" si="8"/>
        <v>23998.69</v>
      </c>
      <c r="U35" s="61">
        <v>24197</v>
      </c>
      <c r="V35" s="98">
        <f t="shared" si="9"/>
        <v>198.31000000000131</v>
      </c>
      <c r="W35" s="102">
        <f t="shared" si="10"/>
        <v>4.7781972912867059E-2</v>
      </c>
      <c r="X35" s="98">
        <f t="shared" si="11"/>
        <v>199.85</v>
      </c>
      <c r="Y35" s="102">
        <f t="shared" si="12"/>
        <v>4.815302953273369E-2</v>
      </c>
      <c r="Z35" s="98">
        <f t="shared" si="13"/>
        <v>-1.5399999999986846</v>
      </c>
      <c r="AA35" s="101">
        <f t="shared" si="14"/>
        <v>-3.8982802002771435E-4</v>
      </c>
      <c r="AB35" s="11"/>
      <c r="AC35" s="2">
        <v>29</v>
      </c>
      <c r="AD35" s="5">
        <f t="shared" si="39"/>
        <v>50143</v>
      </c>
      <c r="AE35" s="62"/>
      <c r="AF35" s="61"/>
      <c r="AG35" s="61"/>
      <c r="AH35" s="3">
        <f t="shared" si="15"/>
        <v>0</v>
      </c>
      <c r="AI35" s="3">
        <f t="shared" si="16"/>
        <v>0</v>
      </c>
      <c r="AJ35" s="3">
        <f t="shared" si="17"/>
        <v>10835.789999999999</v>
      </c>
      <c r="AK35" s="3">
        <f t="shared" si="18"/>
        <v>38800.42</v>
      </c>
      <c r="AL35" s="61">
        <v>39303</v>
      </c>
      <c r="AM35" s="98">
        <f t="shared" si="41"/>
        <v>502.58000000000175</v>
      </c>
      <c r="AN35" s="102">
        <f t="shared" si="19"/>
        <v>4.4309143069742665E-2</v>
      </c>
      <c r="AO35" s="98">
        <f t="shared" si="20"/>
        <v>506.79</v>
      </c>
      <c r="AP35" s="102">
        <f t="shared" si="21"/>
        <v>4.4680310828753247E-2</v>
      </c>
      <c r="AQ35" s="98">
        <f t="shared" si="22"/>
        <v>-4.2099999999982742</v>
      </c>
      <c r="AR35" s="101">
        <f t="shared" si="23"/>
        <v>-3.8852727858312819E-4</v>
      </c>
      <c r="AS35" s="11"/>
      <c r="AT35" s="2">
        <v>29</v>
      </c>
      <c r="AU35" s="5">
        <f t="shared" si="40"/>
        <v>43368</v>
      </c>
      <c r="AV35" s="62"/>
      <c r="AW35" s="61"/>
      <c r="AX35" s="61"/>
      <c r="AY35" s="3">
        <f t="shared" si="24"/>
        <v>0</v>
      </c>
      <c r="AZ35" s="3">
        <f t="shared" si="25"/>
        <v>0</v>
      </c>
      <c r="BA35" s="3">
        <f t="shared" si="26"/>
        <v>923.66</v>
      </c>
      <c r="BB35" s="3">
        <f t="shared" si="27"/>
        <v>42434.9</v>
      </c>
      <c r="BC35" s="61">
        <v>42444</v>
      </c>
      <c r="BD35" s="98">
        <f t="shared" si="28"/>
        <v>9.0999999999985448</v>
      </c>
      <c r="BE35" s="102">
        <f t="shared" si="29"/>
        <v>9.7524381095258229E-3</v>
      </c>
      <c r="BF35" s="98">
        <f t="shared" si="30"/>
        <v>9.44</v>
      </c>
      <c r="BG35" s="102">
        <f t="shared" si="31"/>
        <v>1.0116814918015218E-2</v>
      </c>
      <c r="BH35" s="98">
        <f t="shared" si="32"/>
        <v>-0.34000000000145469</v>
      </c>
      <c r="BI35" s="101">
        <f t="shared" si="33"/>
        <v>-3.6810081631926761E-4</v>
      </c>
      <c r="BJ35" s="11"/>
    </row>
    <row r="36" spans="1:62" x14ac:dyDescent="0.25">
      <c r="A36" s="4">
        <f t="shared" si="34"/>
        <v>45626</v>
      </c>
      <c r="B36" s="63">
        <f>3578.76-C36</f>
        <v>3402.6400000000003</v>
      </c>
      <c r="C36" s="63">
        <v>176.12</v>
      </c>
      <c r="D36" s="63">
        <f>10386.87-E36</f>
        <v>9881.9500000000007</v>
      </c>
      <c r="E36" s="63">
        <v>504.92</v>
      </c>
      <c r="F36" s="63">
        <f>1645.74-G36</f>
        <v>1611.83</v>
      </c>
      <c r="G36" s="63">
        <v>33.909999999999997</v>
      </c>
      <c r="H36" s="63">
        <v>6959</v>
      </c>
      <c r="I36" s="65">
        <v>27</v>
      </c>
      <c r="J36" s="65">
        <v>23.99</v>
      </c>
      <c r="K36" s="65">
        <v>27.29</v>
      </c>
      <c r="L36" s="2">
        <v>30</v>
      </c>
      <c r="M36" s="5">
        <f t="shared" si="35"/>
        <v>24197</v>
      </c>
      <c r="N36" s="61"/>
      <c r="O36" s="61"/>
      <c r="P36" s="61"/>
      <c r="Q36" s="3">
        <f t="shared" si="5"/>
        <v>0</v>
      </c>
      <c r="R36" s="3">
        <f t="shared" si="6"/>
        <v>0</v>
      </c>
      <c r="S36" s="3">
        <f t="shared" si="7"/>
        <v>3402.6400000000003</v>
      </c>
      <c r="T36" s="3">
        <f t="shared" si="8"/>
        <v>20618.239999999998</v>
      </c>
      <c r="U36" s="61">
        <v>20794</v>
      </c>
      <c r="V36" s="98">
        <f t="shared" si="9"/>
        <v>175.76000000000204</v>
      </c>
      <c r="W36" s="102">
        <f t="shared" si="10"/>
        <v>4.9111982921459393E-2</v>
      </c>
      <c r="X36" s="98">
        <f t="shared" si="11"/>
        <v>176.12</v>
      </c>
      <c r="Y36" s="102">
        <f t="shared" si="12"/>
        <v>4.9212576423118617E-2</v>
      </c>
      <c r="Z36" s="98">
        <f t="shared" si="13"/>
        <v>-0.35999999999796728</v>
      </c>
      <c r="AA36" s="101">
        <f t="shared" si="14"/>
        <v>-1.0580020219534457E-4</v>
      </c>
      <c r="AB36" s="11"/>
      <c r="AC36" s="2">
        <v>30</v>
      </c>
      <c r="AD36" s="5">
        <f t="shared" si="39"/>
        <v>39303</v>
      </c>
      <c r="AE36" s="62"/>
      <c r="AF36" s="61"/>
      <c r="AG36" s="61"/>
      <c r="AH36" s="3">
        <f t="shared" si="15"/>
        <v>0</v>
      </c>
      <c r="AI36" s="3">
        <f t="shared" si="16"/>
        <v>0</v>
      </c>
      <c r="AJ36" s="3">
        <f t="shared" si="17"/>
        <v>9881.9500000000007</v>
      </c>
      <c r="AK36" s="3">
        <f t="shared" si="18"/>
        <v>28916.129999999997</v>
      </c>
      <c r="AL36" s="61">
        <v>29420</v>
      </c>
      <c r="AM36" s="98">
        <f t="shared" si="41"/>
        <v>503.87000000000262</v>
      </c>
      <c r="AN36" s="102">
        <f t="shared" si="19"/>
        <v>4.8510282693439176E-2</v>
      </c>
      <c r="AO36" s="98">
        <f t="shared" si="20"/>
        <v>504.92</v>
      </c>
      <c r="AP36" s="102">
        <f t="shared" si="21"/>
        <v>4.8611371856969419E-2</v>
      </c>
      <c r="AQ36" s="98">
        <f t="shared" si="22"/>
        <v>-1.0499999999973966</v>
      </c>
      <c r="AR36" s="101">
        <f t="shared" si="23"/>
        <v>-1.0625433239364665E-4</v>
      </c>
      <c r="AS36" s="11"/>
      <c r="AT36" s="2">
        <v>30</v>
      </c>
      <c r="AU36" s="5">
        <f t="shared" si="40"/>
        <v>42444</v>
      </c>
      <c r="AV36" s="62"/>
      <c r="AW36" s="61"/>
      <c r="AX36" s="61"/>
      <c r="AY36" s="3">
        <f t="shared" si="24"/>
        <v>0</v>
      </c>
      <c r="AZ36" s="3">
        <f t="shared" si="25"/>
        <v>0</v>
      </c>
      <c r="BA36" s="3">
        <f t="shared" si="26"/>
        <v>1611.83</v>
      </c>
      <c r="BB36" s="3">
        <f t="shared" si="27"/>
        <v>40798.26</v>
      </c>
      <c r="BC36" s="61">
        <v>40832</v>
      </c>
      <c r="BD36" s="98">
        <f t="shared" si="28"/>
        <v>33.739999999997963</v>
      </c>
      <c r="BE36" s="102">
        <f t="shared" si="29"/>
        <v>2.0501415776488365E-2</v>
      </c>
      <c r="BF36" s="98">
        <f t="shared" si="30"/>
        <v>33.909999999999997</v>
      </c>
      <c r="BG36" s="102">
        <f t="shared" si="31"/>
        <v>2.0604712773585134E-2</v>
      </c>
      <c r="BH36" s="98">
        <f t="shared" si="32"/>
        <v>-0.17000000000203386</v>
      </c>
      <c r="BI36" s="101">
        <f t="shared" si="33"/>
        <v>-1.0547017985893913E-4</v>
      </c>
      <c r="BJ36" s="11"/>
    </row>
    <row r="37" spans="1:62" x14ac:dyDescent="0.25">
      <c r="A37" s="1">
        <f t="shared" si="34"/>
        <v>45627</v>
      </c>
      <c r="B37" s="59"/>
      <c r="C37" s="59"/>
      <c r="D37" s="59"/>
      <c r="E37" s="59"/>
      <c r="F37" s="59"/>
      <c r="G37" s="59"/>
      <c r="H37" s="59"/>
      <c r="I37" s="60"/>
      <c r="J37" s="60"/>
      <c r="K37" s="60"/>
      <c r="L37" s="5">
        <v>31</v>
      </c>
      <c r="M37" s="5">
        <f t="shared" si="35"/>
        <v>0</v>
      </c>
      <c r="N37" s="61"/>
      <c r="O37" s="61"/>
      <c r="P37" s="61"/>
      <c r="Q37" s="3">
        <f t="shared" si="5"/>
        <v>0</v>
      </c>
      <c r="R37" s="3">
        <f t="shared" si="6"/>
        <v>0</v>
      </c>
      <c r="S37" s="3">
        <f t="shared" si="7"/>
        <v>0</v>
      </c>
      <c r="T37" s="3">
        <f t="shared" si="8"/>
        <v>0</v>
      </c>
      <c r="U37" s="61"/>
      <c r="V37" s="98">
        <f t="shared" si="9"/>
        <v>0</v>
      </c>
      <c r="W37" s="102" t="str">
        <f t="shared" si="10"/>
        <v>0</v>
      </c>
      <c r="X37" s="98">
        <f t="shared" si="11"/>
        <v>0</v>
      </c>
      <c r="Y37" s="102" t="str">
        <f t="shared" si="12"/>
        <v>0</v>
      </c>
      <c r="Z37" s="98">
        <f t="shared" si="13"/>
        <v>0</v>
      </c>
      <c r="AA37" s="101">
        <f t="shared" si="14"/>
        <v>0</v>
      </c>
      <c r="AB37" s="11"/>
      <c r="AC37" s="5">
        <v>31</v>
      </c>
      <c r="AD37" s="5">
        <f t="shared" si="39"/>
        <v>0</v>
      </c>
      <c r="AE37" s="62"/>
      <c r="AF37" s="61"/>
      <c r="AG37" s="61"/>
      <c r="AH37" s="3">
        <f t="shared" si="15"/>
        <v>0</v>
      </c>
      <c r="AI37" s="3">
        <f t="shared" si="16"/>
        <v>0</v>
      </c>
      <c r="AJ37" s="3">
        <f t="shared" si="17"/>
        <v>0</v>
      </c>
      <c r="AK37" s="3">
        <f t="shared" si="18"/>
        <v>0</v>
      </c>
      <c r="AL37" s="61"/>
      <c r="AM37" s="98">
        <f t="shared" si="41"/>
        <v>0</v>
      </c>
      <c r="AN37" s="102" t="str">
        <f t="shared" si="19"/>
        <v>0</v>
      </c>
      <c r="AO37" s="98">
        <f t="shared" si="20"/>
        <v>0</v>
      </c>
      <c r="AP37" s="102" t="str">
        <f t="shared" si="21"/>
        <v>0</v>
      </c>
      <c r="AQ37" s="98">
        <f t="shared" si="22"/>
        <v>0</v>
      </c>
      <c r="AR37" s="101">
        <f t="shared" si="23"/>
        <v>0</v>
      </c>
      <c r="AS37" s="11"/>
      <c r="AT37" s="5">
        <v>31</v>
      </c>
      <c r="AU37" s="5">
        <f t="shared" si="40"/>
        <v>0</v>
      </c>
      <c r="AV37" s="62"/>
      <c r="AW37" s="61"/>
      <c r="AX37" s="61"/>
      <c r="AY37" s="3">
        <f t="shared" si="24"/>
        <v>0</v>
      </c>
      <c r="AZ37" s="3">
        <f t="shared" si="25"/>
        <v>0</v>
      </c>
      <c r="BA37" s="3">
        <f t="shared" si="26"/>
        <v>0</v>
      </c>
      <c r="BB37" s="3">
        <f t="shared" si="27"/>
        <v>0</v>
      </c>
      <c r="BC37" s="61"/>
      <c r="BD37" s="98">
        <f t="shared" si="28"/>
        <v>0</v>
      </c>
      <c r="BE37" s="102" t="str">
        <f t="shared" si="29"/>
        <v>0</v>
      </c>
      <c r="BF37" s="98">
        <f t="shared" si="30"/>
        <v>0</v>
      </c>
      <c r="BG37" s="102" t="str">
        <f t="shared" si="31"/>
        <v>0</v>
      </c>
      <c r="BH37" s="98">
        <f t="shared" si="32"/>
        <v>0</v>
      </c>
      <c r="BI37" s="101">
        <f t="shared" si="33"/>
        <v>0</v>
      </c>
      <c r="BJ37" s="11"/>
    </row>
    <row r="38" spans="1:62" x14ac:dyDescent="0.25">
      <c r="A38" s="6"/>
      <c r="B38" s="7"/>
      <c r="C38" s="7"/>
      <c r="D38" s="67" t="s">
        <v>38</v>
      </c>
      <c r="E38" s="7"/>
      <c r="F38" s="7"/>
      <c r="G38" s="7"/>
      <c r="H38" s="8"/>
      <c r="I38" s="9"/>
      <c r="J38" s="9"/>
      <c r="K38" s="9"/>
      <c r="BJ38" s="11"/>
    </row>
    <row r="39" spans="1:62" x14ac:dyDescent="0.25">
      <c r="B39" s="12"/>
      <c r="C39" s="12"/>
      <c r="D39" s="12"/>
      <c r="E39" s="12"/>
      <c r="F39" s="12"/>
      <c r="G39" s="12"/>
      <c r="H39" s="12"/>
      <c r="I39" s="12"/>
      <c r="J39" s="12"/>
      <c r="K39" s="12"/>
      <c r="BJ39" s="11"/>
    </row>
    <row r="40" spans="1:62" x14ac:dyDescent="0.25">
      <c r="A40" s="13" t="s">
        <v>17</v>
      </c>
      <c r="B40" s="14">
        <f t="shared" ref="B40:H40" si="42">SUM(B7:B37)</f>
        <v>116665.89000000001</v>
      </c>
      <c r="C40" s="14">
        <f t="shared" si="42"/>
        <v>5982.7800000000016</v>
      </c>
      <c r="D40" s="14">
        <f>SUM(D7:D37)</f>
        <v>306682.06999999995</v>
      </c>
      <c r="E40" s="14">
        <f t="shared" si="42"/>
        <v>14394.61</v>
      </c>
      <c r="F40" s="14">
        <f t="shared" si="42"/>
        <v>59203.530000000013</v>
      </c>
      <c r="G40" s="14">
        <f t="shared" si="42"/>
        <v>1375.2000000000005</v>
      </c>
      <c r="H40" s="14">
        <f t="shared" si="42"/>
        <v>168759.35</v>
      </c>
      <c r="I40" s="14"/>
      <c r="J40" s="14"/>
      <c r="K40" s="14"/>
      <c r="AB40" s="11"/>
      <c r="AS40" s="11"/>
      <c r="BJ40" s="11"/>
    </row>
    <row r="41" spans="1:62" x14ac:dyDescent="0.25">
      <c r="B41" s="11">
        <f>B40+C40</f>
        <v>122648.67000000001</v>
      </c>
      <c r="C41" s="11"/>
      <c r="D41" s="11">
        <f>D40+E40</f>
        <v>321076.67999999993</v>
      </c>
      <c r="E41" s="11"/>
      <c r="F41" s="11">
        <f>F40+G40</f>
        <v>60578.73000000001</v>
      </c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O41" s="11"/>
      <c r="AQ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F41" s="11"/>
      <c r="BH41" s="11"/>
      <c r="BJ41" s="11"/>
    </row>
    <row r="42" spans="1:62" ht="15.75" x14ac:dyDescent="0.25">
      <c r="A42" s="16">
        <v>1</v>
      </c>
      <c r="B42" s="17" t="s">
        <v>19</v>
      </c>
      <c r="C42" s="18" t="s">
        <v>20</v>
      </c>
      <c r="D42" s="18" t="s">
        <v>21</v>
      </c>
      <c r="E42" s="19"/>
      <c r="F42" s="20"/>
      <c r="G42" s="21"/>
      <c r="H42" s="19">
        <f>B41+D41+F41</f>
        <v>504304.07999999996</v>
      </c>
      <c r="I42" s="22" t="s">
        <v>22</v>
      </c>
      <c r="J42" s="19"/>
      <c r="K42" s="20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O42" s="11"/>
      <c r="AQ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F42" s="11"/>
      <c r="BH42" s="11"/>
      <c r="BJ42" s="11"/>
    </row>
    <row r="43" spans="1:62" x14ac:dyDescent="0.25">
      <c r="A43" s="23" t="s">
        <v>23</v>
      </c>
      <c r="B43" s="24">
        <f>B40*0.04</f>
        <v>4666.6356000000005</v>
      </c>
      <c r="C43" s="14">
        <f>C40</f>
        <v>5982.7800000000016</v>
      </c>
      <c r="D43" s="14">
        <f>C43-B43</f>
        <v>1316.144400000001</v>
      </c>
      <c r="E43" s="25"/>
      <c r="F43" s="26">
        <f>C43/B41</f>
        <v>4.8779819626254411E-2</v>
      </c>
      <c r="G43" s="27"/>
      <c r="H43" s="28">
        <f>H42/31</f>
        <v>16267.873548387095</v>
      </c>
      <c r="I43" s="30" t="s">
        <v>24</v>
      </c>
      <c r="J43" s="14"/>
      <c r="K43" s="29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O43" s="11"/>
      <c r="AQ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F43" s="11"/>
      <c r="BH43" s="11"/>
      <c r="BJ43" s="11"/>
    </row>
    <row r="44" spans="1:62" x14ac:dyDescent="0.25">
      <c r="A44" s="31"/>
      <c r="B44" s="32"/>
      <c r="C44" s="12"/>
      <c r="D44" s="12"/>
      <c r="E44" s="12"/>
      <c r="F44" s="33"/>
      <c r="G44" s="32"/>
      <c r="I44" s="12"/>
      <c r="J44" s="12"/>
      <c r="K44" s="34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O44" s="11"/>
      <c r="AQ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F44" s="11"/>
      <c r="BH44" s="11"/>
      <c r="BJ44" s="11"/>
    </row>
    <row r="45" spans="1:62" ht="15.75" x14ac:dyDescent="0.25">
      <c r="A45" s="35">
        <v>2</v>
      </c>
      <c r="B45" s="36" t="s">
        <v>19</v>
      </c>
      <c r="C45" s="37" t="s">
        <v>20</v>
      </c>
      <c r="D45" s="37" t="s">
        <v>21</v>
      </c>
      <c r="E45" s="12"/>
      <c r="F45" s="33"/>
      <c r="G45" s="27"/>
      <c r="H45" s="14">
        <f>H43*31</f>
        <v>504304.07999999996</v>
      </c>
      <c r="I45" s="30" t="s">
        <v>25</v>
      </c>
      <c r="J45" s="14"/>
      <c r="K45" s="29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O45" s="11"/>
      <c r="AQ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F45" s="11"/>
      <c r="BH45" s="11"/>
      <c r="BJ45" s="11"/>
    </row>
    <row r="46" spans="1:62" x14ac:dyDescent="0.25">
      <c r="A46" s="23" t="s">
        <v>23</v>
      </c>
      <c r="B46" s="24">
        <f>D40*0.04</f>
        <v>12267.282799999999</v>
      </c>
      <c r="C46" s="14">
        <f>E40</f>
        <v>14394.61</v>
      </c>
      <c r="D46" s="14">
        <f>C46-B46</f>
        <v>2127.3272000000015</v>
      </c>
      <c r="E46" s="25"/>
      <c r="F46" s="26">
        <f>C46/D41</f>
        <v>4.4832312331122906E-2</v>
      </c>
      <c r="G46" s="32"/>
      <c r="H46" s="12"/>
      <c r="I46" s="12"/>
      <c r="J46" s="12"/>
      <c r="K46" s="34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O46" s="11"/>
      <c r="AQ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F46" s="11"/>
      <c r="BH46" s="11"/>
      <c r="BJ46" s="11"/>
    </row>
    <row r="47" spans="1:62" x14ac:dyDescent="0.25">
      <c r="A47" s="31"/>
      <c r="B47" s="32"/>
      <c r="C47" s="12"/>
      <c r="D47" s="12"/>
      <c r="E47" s="12"/>
      <c r="F47" s="33"/>
      <c r="G47" s="24"/>
      <c r="H47" s="15"/>
      <c r="I47" s="54" t="s">
        <v>26</v>
      </c>
      <c r="J47" s="15"/>
      <c r="K47" s="38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O47" s="11"/>
      <c r="AQ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F47" s="11"/>
      <c r="BH47" s="11"/>
      <c r="BJ47" s="11"/>
    </row>
    <row r="48" spans="1:62" ht="15.75" x14ac:dyDescent="0.25">
      <c r="A48" s="35">
        <v>3</v>
      </c>
      <c r="B48" s="36" t="s">
        <v>19</v>
      </c>
      <c r="C48" s="37" t="s">
        <v>20</v>
      </c>
      <c r="D48" s="37" t="s">
        <v>21</v>
      </c>
      <c r="E48" s="12"/>
      <c r="F48" s="33"/>
      <c r="G48" s="32"/>
      <c r="I48" s="12"/>
      <c r="J48" s="12"/>
      <c r="K48" s="34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O48" s="11"/>
      <c r="AQ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F48" s="11"/>
      <c r="BH48" s="11"/>
      <c r="BJ48" s="11"/>
    </row>
    <row r="49" spans="1:62" x14ac:dyDescent="0.25">
      <c r="A49" s="23" t="s">
        <v>23</v>
      </c>
      <c r="B49" s="24">
        <f>F40*0.02</f>
        <v>1184.0706000000002</v>
      </c>
      <c r="C49" s="14">
        <f>G40</f>
        <v>1375.2000000000005</v>
      </c>
      <c r="D49" s="14">
        <f>C49-B49</f>
        <v>191.12940000000026</v>
      </c>
      <c r="E49" s="25"/>
      <c r="F49" s="26">
        <f>C49/F41</f>
        <v>2.2701037146206273E-2</v>
      </c>
      <c r="G49" s="27"/>
      <c r="H49" s="14">
        <f>H45</f>
        <v>504304.07999999996</v>
      </c>
      <c r="I49" s="30" t="s">
        <v>27</v>
      </c>
      <c r="J49" s="14"/>
      <c r="K49" s="29"/>
      <c r="L49" s="11"/>
      <c r="M49" s="12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O49" s="11"/>
      <c r="AQ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F49" s="11"/>
      <c r="BH49" s="11"/>
      <c r="BJ49" s="11"/>
    </row>
    <row r="50" spans="1:62" x14ac:dyDescent="0.25">
      <c r="A50" s="39"/>
      <c r="B50" s="40"/>
      <c r="C50" s="41"/>
      <c r="D50" s="41"/>
      <c r="E50" s="41"/>
      <c r="F50" s="42"/>
      <c r="G50" s="40"/>
      <c r="H50" s="43"/>
      <c r="I50" s="41"/>
      <c r="J50" s="41"/>
      <c r="K50" s="43"/>
      <c r="L50" s="11"/>
      <c r="M50" s="12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O50" s="11"/>
      <c r="AQ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F50" s="11"/>
      <c r="BH50" s="11"/>
      <c r="BJ50" s="11"/>
    </row>
    <row r="51" spans="1:62" x14ac:dyDescent="0.25">
      <c r="A51" s="4"/>
      <c r="B51" s="11"/>
      <c r="C51" s="55"/>
      <c r="D51" s="56"/>
      <c r="E51" s="55"/>
      <c r="F51" s="55"/>
      <c r="G51" s="55"/>
      <c r="H51" s="56"/>
      <c r="I51" s="9"/>
      <c r="J51" s="9"/>
      <c r="K51" s="9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O51" s="11"/>
      <c r="AQ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F51" s="11"/>
      <c r="BH51" s="11"/>
      <c r="BJ51" s="11"/>
    </row>
    <row r="52" spans="1:62" x14ac:dyDescent="0.25">
      <c r="A52" s="4"/>
      <c r="B52" s="11"/>
      <c r="C52" s="55"/>
      <c r="D52" s="56"/>
      <c r="E52" s="55"/>
      <c r="F52" s="55"/>
      <c r="G52" s="55"/>
      <c r="H52" s="56"/>
      <c r="I52" s="9"/>
      <c r="J52" s="9"/>
      <c r="K52" s="9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O52" s="11"/>
      <c r="AQ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F52" s="11"/>
      <c r="BH52" s="11"/>
      <c r="BJ52" s="11"/>
    </row>
  </sheetData>
  <mergeCells count="4">
    <mergeCell ref="AD4:AK4"/>
    <mergeCell ref="AU4:AY4"/>
    <mergeCell ref="I5:K5"/>
    <mergeCell ref="M4:T4"/>
  </mergeCells>
  <conditionalFormatting sqref="AA3 AR3 BI3 AH7:AI37 Q7:R37 AW7:AW37 AY7:AZ37 AM7:AR37 BB8:BI37 V7:AA37 BB7 BD7:BI7">
    <cfRule type="cellIs" dxfId="5" priority="85" stopIfTrue="1" operator="lessThan">
      <formula>0</formula>
    </cfRule>
    <cfRule type="cellIs" dxfId="4" priority="86" stopIfTrue="1" operator="lessThan">
      <formula>0</formula>
    </cfRule>
    <cfRule type="cellIs" dxfId="3" priority="87" stopIfTrue="1" operator="lessThan">
      <formula>0</formula>
    </cfRule>
  </conditionalFormatting>
  <conditionalFormatting sqref="BC7">
    <cfRule type="cellIs" dxfId="2" priority="1" stopIfTrue="1" operator="lessThan">
      <formula>0</formula>
    </cfRule>
    <cfRule type="cellIs" dxfId="1" priority="2" stopIfTrue="1" operator="lessThan">
      <formula>0</formula>
    </cfRule>
    <cfRule type="cellIs" dxfId="0" priority="3" stopIfTrue="1" operator="lessThan">
      <formula>0</formula>
    </cfRule>
  </conditionalFormatting>
  <dataValidations count="1">
    <dataValidation type="date" allowBlank="1" showInputMessage="1" showErrorMessage="1" sqref="A5" xr:uid="{00000000-0002-0000-0000-000000000000}">
      <formula1>44927</formula1>
      <formula2>54789</formula2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O35"/>
  <sheetViews>
    <sheetView showGridLines="0" topLeftCell="A10" zoomScale="85" zoomScaleNormal="85" workbookViewId="0">
      <selection activeCell="B3" sqref="B3"/>
    </sheetView>
  </sheetViews>
  <sheetFormatPr baseColWidth="10" defaultColWidth="11.140625" defaultRowHeight="15" x14ac:dyDescent="0.25"/>
  <cols>
    <col min="1" max="1" width="11.140625" style="70"/>
    <col min="2" max="5" width="15.42578125" style="70" customWidth="1"/>
    <col min="6" max="8" width="8.85546875" style="70" customWidth="1"/>
    <col min="9" max="11" width="15.42578125" style="70" customWidth="1"/>
    <col min="12" max="12" width="18.42578125" style="70" customWidth="1"/>
    <col min="13" max="15" width="10.85546875" style="70" customWidth="1"/>
    <col min="16" max="16384" width="11.140625" style="70"/>
  </cols>
  <sheetData>
    <row r="1" spans="2:15" ht="37.700000000000003" customHeight="1" x14ac:dyDescent="0.25"/>
    <row r="2" spans="2:15" s="74" customFormat="1" ht="15.75" x14ac:dyDescent="0.25">
      <c r="B2" s="71"/>
      <c r="C2" s="72" t="s">
        <v>17</v>
      </c>
      <c r="D2" s="73"/>
      <c r="E2" s="71"/>
      <c r="F2" s="72" t="s">
        <v>43</v>
      </c>
      <c r="G2" s="73"/>
      <c r="H2" s="71"/>
      <c r="I2" s="72" t="s">
        <v>42</v>
      </c>
      <c r="J2" s="73"/>
      <c r="K2" s="73"/>
      <c r="L2" s="71"/>
      <c r="M2" s="72" t="s">
        <v>44</v>
      </c>
      <c r="N2" s="73"/>
      <c r="O2" s="71"/>
    </row>
    <row r="3" spans="2:15" ht="15.75" x14ac:dyDescent="0.25">
      <c r="B3" s="105" t="s">
        <v>45</v>
      </c>
      <c r="C3" s="75" t="s">
        <v>39</v>
      </c>
      <c r="D3" s="76" t="s">
        <v>40</v>
      </c>
      <c r="E3" s="77" t="s">
        <v>41</v>
      </c>
      <c r="F3" s="75" t="s">
        <v>10</v>
      </c>
      <c r="G3" s="76" t="s">
        <v>2</v>
      </c>
      <c r="H3" s="77" t="s">
        <v>1</v>
      </c>
      <c r="I3" s="75" t="s">
        <v>39</v>
      </c>
      <c r="J3" s="76" t="s">
        <v>40</v>
      </c>
      <c r="K3" s="76" t="s">
        <v>41</v>
      </c>
      <c r="L3" s="77"/>
      <c r="M3" s="75" t="s">
        <v>39</v>
      </c>
      <c r="N3" s="76" t="s">
        <v>40</v>
      </c>
      <c r="O3" s="77" t="s">
        <v>41</v>
      </c>
    </row>
    <row r="4" spans="2:15" x14ac:dyDescent="0.25">
      <c r="B4" s="78">
        <f>Vtas!A7</f>
        <v>45597</v>
      </c>
      <c r="C4" s="79">
        <f>Vtas!C7</f>
        <v>201.2</v>
      </c>
      <c r="D4" s="80">
        <f>Vtas!E7</f>
        <v>578.07000000000005</v>
      </c>
      <c r="E4" s="80">
        <f>Vtas!G7</f>
        <v>76.28</v>
      </c>
      <c r="F4" s="79">
        <f>Vtas!I7</f>
        <v>26.9</v>
      </c>
      <c r="G4" s="80">
        <f>Vtas!J7</f>
        <v>23.99</v>
      </c>
      <c r="H4" s="81">
        <f>Vtas!K7</f>
        <v>27.19</v>
      </c>
      <c r="I4" s="79">
        <f>C4*F4</f>
        <v>5412.28</v>
      </c>
      <c r="J4" s="80">
        <f>D4*G4</f>
        <v>13867.899300000001</v>
      </c>
      <c r="K4" s="80">
        <f>E4*H4</f>
        <v>2074.0532000000003</v>
      </c>
      <c r="L4" s="80">
        <f>SUM(I4:K4)</f>
        <v>21354.232499999998</v>
      </c>
      <c r="M4" s="89">
        <f>Vtas!C7/Vtas!B7</f>
        <v>5.9811706090270478E-2</v>
      </c>
      <c r="N4" s="90">
        <f>Vtas!E7/Vtas!D7</f>
        <v>5.1721268646033165E-2</v>
      </c>
      <c r="O4" s="91">
        <f>Vtas!G7/Vtas!F7</f>
        <v>3.6324847376591717E-2</v>
      </c>
    </row>
    <row r="5" spans="2:15" x14ac:dyDescent="0.25">
      <c r="B5" s="82">
        <f>Vtas!A8</f>
        <v>45598</v>
      </c>
      <c r="C5" s="83">
        <f>Vtas!C8</f>
        <v>168.43</v>
      </c>
      <c r="D5" s="84">
        <f>Vtas!E8</f>
        <v>509.83</v>
      </c>
      <c r="E5" s="84">
        <f>Vtas!G8</f>
        <v>16.91</v>
      </c>
      <c r="F5" s="83">
        <f>Vtas!I8</f>
        <v>26.9</v>
      </c>
      <c r="G5" s="84">
        <f>Vtas!J8</f>
        <v>23.99</v>
      </c>
      <c r="H5" s="85">
        <f>Vtas!K8</f>
        <v>27.19</v>
      </c>
      <c r="I5" s="83">
        <f t="shared" ref="I5:I34" si="0">C5*F5</f>
        <v>4530.7669999999998</v>
      </c>
      <c r="J5" s="84">
        <f t="shared" ref="J5:J34" si="1">D5*G5</f>
        <v>12230.821699999999</v>
      </c>
      <c r="K5" s="84">
        <f t="shared" ref="K5:K34" si="2">E5*H5</f>
        <v>459.78290000000004</v>
      </c>
      <c r="L5" s="84">
        <f t="shared" ref="L5:L34" si="3">SUM(I5:K5)</f>
        <v>17221.371599999999</v>
      </c>
      <c r="M5" s="92">
        <f>Vtas!C8/Vtas!B8</f>
        <v>5.6269376737224715E-2</v>
      </c>
      <c r="N5" s="93">
        <f>Vtas!E8/Vtas!D8</f>
        <v>5.2752039649651049E-2</v>
      </c>
      <c r="O5" s="94">
        <f>Vtas!G8/Vtas!F8</f>
        <v>2.7062494998799713E-2</v>
      </c>
    </row>
    <row r="6" spans="2:15" x14ac:dyDescent="0.25">
      <c r="B6" s="78">
        <f>Vtas!A9</f>
        <v>45599</v>
      </c>
      <c r="C6" s="79">
        <f>Vtas!C9</f>
        <v>242.46</v>
      </c>
      <c r="D6" s="80">
        <f>Vtas!E9</f>
        <v>687.23</v>
      </c>
      <c r="E6" s="80">
        <f>Vtas!G9</f>
        <v>66.180000000000007</v>
      </c>
      <c r="F6" s="79">
        <f>Vtas!I9</f>
        <v>26.9</v>
      </c>
      <c r="G6" s="80">
        <f>Vtas!J9</f>
        <v>23.99</v>
      </c>
      <c r="H6" s="81">
        <f>Vtas!K9</f>
        <v>27.19</v>
      </c>
      <c r="I6" s="79">
        <f t="shared" si="0"/>
        <v>6522.174</v>
      </c>
      <c r="J6" s="80">
        <f t="shared" si="1"/>
        <v>16486.647699999998</v>
      </c>
      <c r="K6" s="80">
        <f t="shared" si="2"/>
        <v>1799.4342000000004</v>
      </c>
      <c r="L6" s="80">
        <f t="shared" si="3"/>
        <v>24808.255899999996</v>
      </c>
      <c r="M6" s="89">
        <f>Vtas!C9/Vtas!B9</f>
        <v>6.5964560984435233E-2</v>
      </c>
      <c r="N6" s="90">
        <f>Vtas!E9/Vtas!D9</f>
        <v>6.0168380059850562E-2</v>
      </c>
      <c r="O6" s="91">
        <f>Vtas!G9/Vtas!F9</f>
        <v>2.4155753142656913E-2</v>
      </c>
    </row>
    <row r="7" spans="2:15" x14ac:dyDescent="0.25">
      <c r="B7" s="82">
        <f>Vtas!A10</f>
        <v>45600</v>
      </c>
      <c r="C7" s="83">
        <f>Vtas!C10</f>
        <v>162.96</v>
      </c>
      <c r="D7" s="84">
        <f>Vtas!E10</f>
        <v>388.96</v>
      </c>
      <c r="E7" s="84">
        <f>Vtas!G10</f>
        <v>72.150000000000006</v>
      </c>
      <c r="F7" s="83">
        <f>Vtas!I10</f>
        <v>26.9</v>
      </c>
      <c r="G7" s="84">
        <f>Vtas!J10</f>
        <v>23.99</v>
      </c>
      <c r="H7" s="85">
        <f>Vtas!K10</f>
        <v>27.19</v>
      </c>
      <c r="I7" s="83">
        <f t="shared" si="0"/>
        <v>4383.6239999999998</v>
      </c>
      <c r="J7" s="84">
        <f t="shared" si="1"/>
        <v>9331.1503999999986</v>
      </c>
      <c r="K7" s="84">
        <f t="shared" si="2"/>
        <v>1961.7585000000001</v>
      </c>
      <c r="L7" s="84">
        <f t="shared" si="3"/>
        <v>15676.532899999998</v>
      </c>
      <c r="M7" s="92">
        <f>Vtas!C10/Vtas!B10</f>
        <v>4.8739344997756846E-2</v>
      </c>
      <c r="N7" s="93">
        <f>Vtas!E10/Vtas!D10</f>
        <v>3.9574263298676006E-2</v>
      </c>
      <c r="O7" s="94">
        <f>Vtas!G10/Vtas!F10</f>
        <v>2.6190744122056492E-2</v>
      </c>
    </row>
    <row r="8" spans="2:15" x14ac:dyDescent="0.25">
      <c r="B8" s="78">
        <f>Vtas!A11</f>
        <v>45601</v>
      </c>
      <c r="C8" s="79">
        <f>Vtas!C11</f>
        <v>171.85</v>
      </c>
      <c r="D8" s="80">
        <f>Vtas!E11</f>
        <v>397.79</v>
      </c>
      <c r="E8" s="80">
        <f>Vtas!G11</f>
        <v>44.8</v>
      </c>
      <c r="F8" s="79">
        <f>Vtas!I11</f>
        <v>26.9</v>
      </c>
      <c r="G8" s="80">
        <f>Vtas!J11</f>
        <v>23.99</v>
      </c>
      <c r="H8" s="81">
        <f>Vtas!K11</f>
        <v>27.19</v>
      </c>
      <c r="I8" s="79">
        <f t="shared" si="0"/>
        <v>4622.7649999999994</v>
      </c>
      <c r="J8" s="80">
        <f t="shared" si="1"/>
        <v>9542.9820999999993</v>
      </c>
      <c r="K8" s="80">
        <f t="shared" si="2"/>
        <v>1218.1120000000001</v>
      </c>
      <c r="L8" s="80">
        <f t="shared" si="3"/>
        <v>15383.859099999998</v>
      </c>
      <c r="M8" s="89">
        <f>Vtas!C11/Vtas!B11</f>
        <v>4.8732694718096173E-2</v>
      </c>
      <c r="N8" s="90">
        <f>Vtas!E11/Vtas!D11</f>
        <v>4.2730204289455544E-2</v>
      </c>
      <c r="O8" s="91">
        <f>Vtas!G11/Vtas!F11</f>
        <v>1.9067075246850529E-2</v>
      </c>
    </row>
    <row r="9" spans="2:15" x14ac:dyDescent="0.25">
      <c r="B9" s="82">
        <f>Vtas!A12</f>
        <v>45602</v>
      </c>
      <c r="C9" s="83">
        <f>Vtas!C12</f>
        <v>49.72</v>
      </c>
      <c r="D9" s="84">
        <f>Vtas!E12</f>
        <v>202.37</v>
      </c>
      <c r="E9" s="84">
        <f>Vtas!G12</f>
        <v>0</v>
      </c>
      <c r="F9" s="83">
        <f>Vtas!I12</f>
        <v>26.9</v>
      </c>
      <c r="G9" s="84">
        <f>Vtas!J12</f>
        <v>23.99</v>
      </c>
      <c r="H9" s="85">
        <f>Vtas!K12</f>
        <v>27.19</v>
      </c>
      <c r="I9" s="83">
        <f t="shared" si="0"/>
        <v>1337.4679999999998</v>
      </c>
      <c r="J9" s="84">
        <f t="shared" si="1"/>
        <v>4854.8562999999995</v>
      </c>
      <c r="K9" s="84">
        <f t="shared" si="2"/>
        <v>0</v>
      </c>
      <c r="L9" s="84">
        <f t="shared" si="3"/>
        <v>6192.3242999999993</v>
      </c>
      <c r="M9" s="92">
        <f>Vtas!C12/Vtas!B12</f>
        <v>1.3121780255046026E-2</v>
      </c>
      <c r="N9" s="93">
        <f>Vtas!E12/Vtas!D12</f>
        <v>1.7984703626090219E-2</v>
      </c>
      <c r="O9" s="94">
        <f>Vtas!G12/Vtas!F12</f>
        <v>0</v>
      </c>
    </row>
    <row r="10" spans="2:15" x14ac:dyDescent="0.25">
      <c r="B10" s="78">
        <f>Vtas!A13</f>
        <v>45603</v>
      </c>
      <c r="C10" s="79">
        <f>Vtas!C13</f>
        <v>194.09</v>
      </c>
      <c r="D10" s="80">
        <f>Vtas!E13</f>
        <v>526.49</v>
      </c>
      <c r="E10" s="80">
        <f>Vtas!G13</f>
        <v>60.53</v>
      </c>
      <c r="F10" s="79">
        <f>Vtas!I13</f>
        <v>26.9</v>
      </c>
      <c r="G10" s="80">
        <f>Vtas!J13</f>
        <v>23.99</v>
      </c>
      <c r="H10" s="81">
        <f>Vtas!K13</f>
        <v>27.19</v>
      </c>
      <c r="I10" s="79">
        <f t="shared" si="0"/>
        <v>5221.0209999999997</v>
      </c>
      <c r="J10" s="80">
        <f t="shared" si="1"/>
        <v>12630.4951</v>
      </c>
      <c r="K10" s="80">
        <f t="shared" si="2"/>
        <v>1645.8107</v>
      </c>
      <c r="L10" s="80">
        <f t="shared" si="3"/>
        <v>19497.326800000003</v>
      </c>
      <c r="M10" s="89">
        <f>Vtas!C13/Vtas!B13</f>
        <v>4.8292747254934654E-2</v>
      </c>
      <c r="N10" s="90">
        <f>Vtas!E13/Vtas!D13</f>
        <v>4.8833220948319281E-2</v>
      </c>
      <c r="O10" s="91">
        <f>Vtas!G13/Vtas!F13</f>
        <v>1.9695569554352355E-2</v>
      </c>
    </row>
    <row r="11" spans="2:15" x14ac:dyDescent="0.25">
      <c r="B11" s="82">
        <f>Vtas!A14</f>
        <v>45604</v>
      </c>
      <c r="C11" s="83">
        <f>Vtas!C14</f>
        <v>255.82</v>
      </c>
      <c r="D11" s="84">
        <f>Vtas!E14</f>
        <v>709.35</v>
      </c>
      <c r="E11" s="84">
        <f>Vtas!G14</f>
        <v>21.97</v>
      </c>
      <c r="F11" s="83">
        <f>Vtas!I14</f>
        <v>26.9</v>
      </c>
      <c r="G11" s="84">
        <f>Vtas!J14</f>
        <v>23.99</v>
      </c>
      <c r="H11" s="85">
        <f>Vtas!K14</f>
        <v>27.19</v>
      </c>
      <c r="I11" s="83">
        <f t="shared" si="0"/>
        <v>6881.5579999999991</v>
      </c>
      <c r="J11" s="84">
        <f t="shared" si="1"/>
        <v>17017.306499999999</v>
      </c>
      <c r="K11" s="84">
        <f t="shared" si="2"/>
        <v>597.36429999999996</v>
      </c>
      <c r="L11" s="84">
        <f t="shared" si="3"/>
        <v>24496.228799999997</v>
      </c>
      <c r="M11" s="92">
        <f>Vtas!C14/Vtas!B14</f>
        <v>6.153468692646482E-2</v>
      </c>
      <c r="N11" s="93">
        <f>Vtas!E14/Vtas!D14</f>
        <v>6.5326943231360624E-2</v>
      </c>
      <c r="O11" s="94">
        <f>Vtas!G14/Vtas!F14</f>
        <v>3.8531691746466028E-2</v>
      </c>
    </row>
    <row r="12" spans="2:15" x14ac:dyDescent="0.25">
      <c r="B12" s="78">
        <f>Vtas!A15</f>
        <v>45605</v>
      </c>
      <c r="C12" s="79">
        <f>Vtas!C15</f>
        <v>167.58</v>
      </c>
      <c r="D12" s="80">
        <f>Vtas!E15</f>
        <v>558.02</v>
      </c>
      <c r="E12" s="80">
        <f>Vtas!G15</f>
        <v>40.98</v>
      </c>
      <c r="F12" s="79">
        <f>Vtas!I15</f>
        <v>26.9</v>
      </c>
      <c r="G12" s="80">
        <f>Vtas!J15</f>
        <v>23.99</v>
      </c>
      <c r="H12" s="81">
        <f>Vtas!K15</f>
        <v>27.19</v>
      </c>
      <c r="I12" s="79">
        <f t="shared" si="0"/>
        <v>4507.902</v>
      </c>
      <c r="J12" s="80">
        <f t="shared" si="1"/>
        <v>13386.899799999999</v>
      </c>
      <c r="K12" s="80">
        <f t="shared" si="2"/>
        <v>1114.2462</v>
      </c>
      <c r="L12" s="80">
        <f t="shared" si="3"/>
        <v>19009.048000000003</v>
      </c>
      <c r="M12" s="89">
        <f>Vtas!C15/Vtas!B15</f>
        <v>3.9267328542272481E-2</v>
      </c>
      <c r="N12" s="90">
        <f>Vtas!E15/Vtas!D15</f>
        <v>7.4179534626510127E-2</v>
      </c>
      <c r="O12" s="91">
        <f>Vtas!G15/Vtas!F15</f>
        <v>7.9599090962065147E-2</v>
      </c>
    </row>
    <row r="13" spans="2:15" x14ac:dyDescent="0.25">
      <c r="B13" s="82">
        <f>Vtas!A16</f>
        <v>45606</v>
      </c>
      <c r="C13" s="83">
        <f>Vtas!C16</f>
        <v>275.14</v>
      </c>
      <c r="D13" s="84">
        <f>Vtas!E16</f>
        <v>236.92</v>
      </c>
      <c r="E13" s="84">
        <f>Vtas!G16</f>
        <v>54.47</v>
      </c>
      <c r="F13" s="83">
        <f>Vtas!I16</f>
        <v>26.9</v>
      </c>
      <c r="G13" s="84">
        <f>Vtas!J16</f>
        <v>23.99</v>
      </c>
      <c r="H13" s="85">
        <f>Vtas!K16</f>
        <v>27.19</v>
      </c>
      <c r="I13" s="83">
        <f t="shared" si="0"/>
        <v>7401.2659999999996</v>
      </c>
      <c r="J13" s="84">
        <f t="shared" si="1"/>
        <v>5683.7107999999989</v>
      </c>
      <c r="K13" s="84">
        <f t="shared" si="2"/>
        <v>1481.0393000000001</v>
      </c>
      <c r="L13" s="84">
        <f t="shared" si="3"/>
        <v>14566.016099999999</v>
      </c>
      <c r="M13" s="92">
        <f>Vtas!C16/Vtas!B16</f>
        <v>4.3974485400707392E-2</v>
      </c>
      <c r="N13" s="93">
        <f>Vtas!E16/Vtas!D16</f>
        <v>3.540986938762089E-2</v>
      </c>
      <c r="O13" s="94">
        <f>Vtas!G16/Vtas!F16</f>
        <v>2.0070598985968635E-2</v>
      </c>
    </row>
    <row r="14" spans="2:15" x14ac:dyDescent="0.25">
      <c r="B14" s="78">
        <f>Vtas!A17</f>
        <v>45607</v>
      </c>
      <c r="C14" s="79">
        <f>Vtas!C17</f>
        <v>228.07</v>
      </c>
      <c r="D14" s="80">
        <f>Vtas!E17</f>
        <v>276.5</v>
      </c>
      <c r="E14" s="80">
        <f>Vtas!G17</f>
        <v>51.64</v>
      </c>
      <c r="F14" s="79">
        <f>Vtas!I17</f>
        <v>26.9</v>
      </c>
      <c r="G14" s="80">
        <f>Vtas!J17</f>
        <v>23.99</v>
      </c>
      <c r="H14" s="81">
        <f>Vtas!K17</f>
        <v>27.19</v>
      </c>
      <c r="I14" s="79">
        <f t="shared" si="0"/>
        <v>6135.0829999999996</v>
      </c>
      <c r="J14" s="80">
        <f t="shared" si="1"/>
        <v>6633.2349999999997</v>
      </c>
      <c r="K14" s="80">
        <f t="shared" si="2"/>
        <v>1404.0916</v>
      </c>
      <c r="L14" s="80">
        <f t="shared" si="3"/>
        <v>14172.409599999999</v>
      </c>
      <c r="M14" s="89">
        <f>Vtas!C17/Vtas!B17</f>
        <v>4.9705346479413479E-2</v>
      </c>
      <c r="N14" s="90">
        <f>Vtas!E17/Vtas!D17</f>
        <v>2.601797074883766E-2</v>
      </c>
      <c r="O14" s="91">
        <f>Vtas!G17/Vtas!F17</f>
        <v>2.448960235221587E-2</v>
      </c>
    </row>
    <row r="15" spans="2:15" x14ac:dyDescent="0.25">
      <c r="B15" s="82">
        <f>Vtas!A18</f>
        <v>45608</v>
      </c>
      <c r="C15" s="83">
        <f>Vtas!C18</f>
        <v>206.85</v>
      </c>
      <c r="D15" s="84">
        <f>Vtas!E18</f>
        <v>598.23</v>
      </c>
      <c r="E15" s="84">
        <f>Vtas!G18</f>
        <v>41.09</v>
      </c>
      <c r="F15" s="83">
        <f>Vtas!I18</f>
        <v>26.9</v>
      </c>
      <c r="G15" s="84">
        <f>Vtas!J18</f>
        <v>23.99</v>
      </c>
      <c r="H15" s="85">
        <f>Vtas!K18</f>
        <v>27.19</v>
      </c>
      <c r="I15" s="83">
        <f t="shared" si="0"/>
        <v>5564.2649999999994</v>
      </c>
      <c r="J15" s="84">
        <f t="shared" si="1"/>
        <v>14351.537699999999</v>
      </c>
      <c r="K15" s="84">
        <f t="shared" si="2"/>
        <v>1117.2371000000001</v>
      </c>
      <c r="L15" s="84">
        <f t="shared" si="3"/>
        <v>21033.039799999999</v>
      </c>
      <c r="M15" s="92">
        <f>Vtas!C18/Vtas!B18</f>
        <v>4.9419910358470556E-2</v>
      </c>
      <c r="N15" s="93">
        <f>Vtas!E18/Vtas!D18</f>
        <v>4.9597404018663999E-2</v>
      </c>
      <c r="O15" s="94">
        <f>Vtas!G18/Vtas!F18</f>
        <v>2.1628478637337419E-2</v>
      </c>
    </row>
    <row r="16" spans="2:15" x14ac:dyDescent="0.25">
      <c r="B16" s="78">
        <f>Vtas!A19</f>
        <v>45609</v>
      </c>
      <c r="C16" s="79">
        <f>Vtas!C19</f>
        <v>217.91</v>
      </c>
      <c r="D16" s="80">
        <f>Vtas!E19</f>
        <v>688.65</v>
      </c>
      <c r="E16" s="80">
        <f>Vtas!G19</f>
        <v>56.6</v>
      </c>
      <c r="F16" s="79">
        <f>Vtas!I19</f>
        <v>26.9</v>
      </c>
      <c r="G16" s="80">
        <f>Vtas!J19</f>
        <v>23.99</v>
      </c>
      <c r="H16" s="81">
        <f>Vtas!K19</f>
        <v>27.19</v>
      </c>
      <c r="I16" s="79">
        <f t="shared" si="0"/>
        <v>5861.7789999999995</v>
      </c>
      <c r="J16" s="80">
        <f t="shared" si="1"/>
        <v>16520.713499999998</v>
      </c>
      <c r="K16" s="80">
        <f t="shared" si="2"/>
        <v>1538.9540000000002</v>
      </c>
      <c r="L16" s="80">
        <f t="shared" si="3"/>
        <v>23921.446499999998</v>
      </c>
      <c r="M16" s="89">
        <f>Vtas!C19/Vtas!B19</f>
        <v>5.1809196839760242E-2</v>
      </c>
      <c r="N16" s="90">
        <f>Vtas!E19/Vtas!D19</f>
        <v>5.2923654371994144E-2</v>
      </c>
      <c r="O16" s="91">
        <f>Vtas!G19/Vtas!F19</f>
        <v>1.8571259827018228E-2</v>
      </c>
    </row>
    <row r="17" spans="2:15" x14ac:dyDescent="0.25">
      <c r="B17" s="82">
        <f>Vtas!A20</f>
        <v>45610</v>
      </c>
      <c r="C17" s="83">
        <f>Vtas!C20</f>
        <v>240.33</v>
      </c>
      <c r="D17" s="84">
        <f>Vtas!E20</f>
        <v>439.75</v>
      </c>
      <c r="E17" s="84">
        <f>Vtas!G20</f>
        <v>45.69</v>
      </c>
      <c r="F17" s="83">
        <f>Vtas!I20</f>
        <v>26.9</v>
      </c>
      <c r="G17" s="84">
        <f>Vtas!J20</f>
        <v>23.99</v>
      </c>
      <c r="H17" s="85">
        <f>Vtas!K20</f>
        <v>27.19</v>
      </c>
      <c r="I17" s="83">
        <f t="shared" si="0"/>
        <v>6464.8770000000004</v>
      </c>
      <c r="J17" s="84">
        <f t="shared" si="1"/>
        <v>10549.602499999999</v>
      </c>
      <c r="K17" s="84">
        <f t="shared" si="2"/>
        <v>1242.3110999999999</v>
      </c>
      <c r="L17" s="84">
        <f t="shared" si="3"/>
        <v>18256.7906</v>
      </c>
      <c r="M17" s="92">
        <f>Vtas!C20/Vtas!B20</f>
        <v>5.5796881058127842E-2</v>
      </c>
      <c r="N17" s="93">
        <f>Vtas!E20/Vtas!D20</f>
        <v>4.0130315156437509E-2</v>
      </c>
      <c r="O17" s="94">
        <f>Vtas!G20/Vtas!F20</f>
        <v>2.0847592192077092E-2</v>
      </c>
    </row>
    <row r="18" spans="2:15" x14ac:dyDescent="0.25">
      <c r="B18" s="78">
        <f>Vtas!A21</f>
        <v>45611</v>
      </c>
      <c r="C18" s="79">
        <f>Vtas!C21</f>
        <v>289.23</v>
      </c>
      <c r="D18" s="80">
        <f>Vtas!E21</f>
        <v>524</v>
      </c>
      <c r="E18" s="80">
        <f>Vtas!G21</f>
        <v>18.61</v>
      </c>
      <c r="F18" s="79">
        <f>Vtas!I21</f>
        <v>26.9</v>
      </c>
      <c r="G18" s="80">
        <f>Vtas!J21</f>
        <v>23.99</v>
      </c>
      <c r="H18" s="81">
        <f>Vtas!K21</f>
        <v>27.19</v>
      </c>
      <c r="I18" s="79">
        <f t="shared" si="0"/>
        <v>7780.2870000000003</v>
      </c>
      <c r="J18" s="80">
        <f t="shared" si="1"/>
        <v>12570.759999999998</v>
      </c>
      <c r="K18" s="80">
        <f t="shared" si="2"/>
        <v>506.0059</v>
      </c>
      <c r="L18" s="80">
        <f t="shared" si="3"/>
        <v>20857.052899999999</v>
      </c>
      <c r="M18" s="89">
        <f>Vtas!C21/Vtas!B21</f>
        <v>6.3496001176705619E-2</v>
      </c>
      <c r="N18" s="90">
        <f>Vtas!E21/Vtas!D21</f>
        <v>4.3749133783849224E-2</v>
      </c>
      <c r="O18" s="91">
        <f>Vtas!G21/Vtas!F21</f>
        <v>2.2880397364020852E-2</v>
      </c>
    </row>
    <row r="19" spans="2:15" x14ac:dyDescent="0.25">
      <c r="B19" s="82">
        <f>Vtas!A22</f>
        <v>45612</v>
      </c>
      <c r="C19" s="83">
        <f>Vtas!C22</f>
        <v>139.05000000000001</v>
      </c>
      <c r="D19" s="84">
        <f>Vtas!E22</f>
        <v>476.49</v>
      </c>
      <c r="E19" s="84">
        <f>Vtas!G22</f>
        <v>39.18</v>
      </c>
      <c r="F19" s="83">
        <f>Vtas!I22</f>
        <v>26.9</v>
      </c>
      <c r="G19" s="84">
        <f>Vtas!J22</f>
        <v>23.99</v>
      </c>
      <c r="H19" s="85">
        <f>Vtas!K22</f>
        <v>27.19</v>
      </c>
      <c r="I19" s="83">
        <f t="shared" si="0"/>
        <v>3740.4450000000002</v>
      </c>
      <c r="J19" s="84">
        <f t="shared" si="1"/>
        <v>11430.9951</v>
      </c>
      <c r="K19" s="84">
        <f t="shared" si="2"/>
        <v>1065.3042</v>
      </c>
      <c r="L19" s="84">
        <f t="shared" si="3"/>
        <v>16236.7443</v>
      </c>
      <c r="M19" s="92">
        <f>Vtas!C22/Vtas!B22</f>
        <v>4.4265958666004517E-2</v>
      </c>
      <c r="N19" s="93">
        <f>Vtas!E22/Vtas!D22</f>
        <v>4.9848880965906416E-2</v>
      </c>
      <c r="O19" s="94">
        <f>Vtas!G22/Vtas!F22</f>
        <v>3.3495195431385287E-2</v>
      </c>
    </row>
    <row r="20" spans="2:15" x14ac:dyDescent="0.25">
      <c r="B20" s="78">
        <f>Vtas!A23</f>
        <v>45613</v>
      </c>
      <c r="C20" s="79">
        <f>Vtas!C23</f>
        <v>146.12</v>
      </c>
      <c r="D20" s="80">
        <f>Vtas!E23</f>
        <v>492.9</v>
      </c>
      <c r="E20" s="80">
        <f>Vtas!G23</f>
        <v>49.35</v>
      </c>
      <c r="F20" s="79">
        <f>Vtas!I23</f>
        <v>26.9</v>
      </c>
      <c r="G20" s="80">
        <f>Vtas!J23</f>
        <v>23.99</v>
      </c>
      <c r="H20" s="81">
        <f>Vtas!K23</f>
        <v>27.19</v>
      </c>
      <c r="I20" s="79">
        <f t="shared" si="0"/>
        <v>3930.6279999999997</v>
      </c>
      <c r="J20" s="80">
        <f t="shared" si="1"/>
        <v>11824.670999999998</v>
      </c>
      <c r="K20" s="80">
        <f t="shared" si="2"/>
        <v>1341.8265000000001</v>
      </c>
      <c r="L20" s="80">
        <f t="shared" si="3"/>
        <v>17097.125499999998</v>
      </c>
      <c r="M20" s="89">
        <f>Vtas!C23/Vtas!B23</f>
        <v>4.5768912722078836E-2</v>
      </c>
      <c r="N20" s="90">
        <f>Vtas!E23/Vtas!D23</f>
        <v>5.2594232667324672E-2</v>
      </c>
      <c r="O20" s="91">
        <f>Vtas!G23/Vtas!F23</f>
        <v>2.3465695388170626E-2</v>
      </c>
    </row>
    <row r="21" spans="2:15" x14ac:dyDescent="0.25">
      <c r="B21" s="82">
        <f>Vtas!A24</f>
        <v>45614</v>
      </c>
      <c r="C21" s="83">
        <f>Vtas!C24</f>
        <v>222.51</v>
      </c>
      <c r="D21" s="84">
        <f>Vtas!E24</f>
        <v>446.04</v>
      </c>
      <c r="E21" s="84">
        <f>Vtas!G24</f>
        <v>0</v>
      </c>
      <c r="F21" s="83">
        <f>Vtas!I24</f>
        <v>26.9</v>
      </c>
      <c r="G21" s="84">
        <f>Vtas!J24</f>
        <v>23.99</v>
      </c>
      <c r="H21" s="85">
        <f>Vtas!K24</f>
        <v>27.19</v>
      </c>
      <c r="I21" s="83">
        <f t="shared" si="0"/>
        <v>5985.5189999999993</v>
      </c>
      <c r="J21" s="84">
        <f t="shared" si="1"/>
        <v>10700.499599999999</v>
      </c>
      <c r="K21" s="84">
        <f t="shared" si="2"/>
        <v>0</v>
      </c>
      <c r="L21" s="84">
        <f t="shared" si="3"/>
        <v>16686.018599999999</v>
      </c>
      <c r="M21" s="92">
        <f>Vtas!C24/Vtas!B24</f>
        <v>5.4903867032511502E-2</v>
      </c>
      <c r="N21" s="93">
        <f>Vtas!E24/Vtas!D24</f>
        <v>4.2525684735601678E-2</v>
      </c>
      <c r="O21" s="94">
        <f>Vtas!G24/Vtas!F24</f>
        <v>0</v>
      </c>
    </row>
    <row r="22" spans="2:15" x14ac:dyDescent="0.25">
      <c r="B22" s="78">
        <f>Vtas!A25</f>
        <v>45615</v>
      </c>
      <c r="C22" s="79">
        <f>Vtas!C25</f>
        <v>208.45</v>
      </c>
      <c r="D22" s="80">
        <f>Vtas!E25</f>
        <v>465.19</v>
      </c>
      <c r="E22" s="80">
        <f>Vtas!G25</f>
        <v>98.12</v>
      </c>
      <c r="F22" s="79">
        <f>Vtas!I25</f>
        <v>26.9</v>
      </c>
      <c r="G22" s="80">
        <f>Vtas!J25</f>
        <v>23.99</v>
      </c>
      <c r="H22" s="81">
        <f>Vtas!K25</f>
        <v>27.19</v>
      </c>
      <c r="I22" s="79">
        <f t="shared" si="0"/>
        <v>5607.3049999999994</v>
      </c>
      <c r="J22" s="80">
        <f t="shared" si="1"/>
        <v>11159.908099999999</v>
      </c>
      <c r="K22" s="80">
        <f t="shared" si="2"/>
        <v>2667.8828000000003</v>
      </c>
      <c r="L22" s="80">
        <f t="shared" si="3"/>
        <v>19435.095899999997</v>
      </c>
      <c r="M22" s="89">
        <f>Vtas!C25/Vtas!B25</f>
        <v>5.5544896904194709E-2</v>
      </c>
      <c r="N22" s="90">
        <f>Vtas!E25/Vtas!D25</f>
        <v>4.716085929500502E-2</v>
      </c>
      <c r="O22" s="91">
        <f>Vtas!G25/Vtas!F25</f>
        <v>3.4475004567621891E-2</v>
      </c>
    </row>
    <row r="23" spans="2:15" x14ac:dyDescent="0.25">
      <c r="B23" s="82">
        <f>Vtas!A26</f>
        <v>45616</v>
      </c>
      <c r="C23" s="83">
        <f>Vtas!C26</f>
        <v>154.11000000000001</v>
      </c>
      <c r="D23" s="84">
        <f>Vtas!E26</f>
        <v>515.29999999999995</v>
      </c>
      <c r="E23" s="84">
        <f>Vtas!G26</f>
        <v>48.37</v>
      </c>
      <c r="F23" s="83">
        <f>Vtas!I26</f>
        <v>26.9</v>
      </c>
      <c r="G23" s="84">
        <f>Vtas!J26</f>
        <v>23.99</v>
      </c>
      <c r="H23" s="85">
        <f>Vtas!K26</f>
        <v>27.19</v>
      </c>
      <c r="I23" s="83">
        <f t="shared" si="0"/>
        <v>4145.5590000000002</v>
      </c>
      <c r="J23" s="84">
        <f t="shared" si="1"/>
        <v>12362.046999999999</v>
      </c>
      <c r="K23" s="84">
        <f t="shared" si="2"/>
        <v>1315.1803</v>
      </c>
      <c r="L23" s="84">
        <f t="shared" si="3"/>
        <v>17822.7863</v>
      </c>
      <c r="M23" s="92">
        <f>Vtas!C26/Vtas!B26</f>
        <v>4.4137737464808105E-2</v>
      </c>
      <c r="N23" s="93">
        <f>Vtas!E26/Vtas!D26</f>
        <v>5.1880243524030721E-2</v>
      </c>
      <c r="O23" s="94">
        <f>Vtas!G26/Vtas!F26</f>
        <v>2.4101968717767288E-2</v>
      </c>
    </row>
    <row r="24" spans="2:15" x14ac:dyDescent="0.25">
      <c r="B24" s="78">
        <f>Vtas!A27</f>
        <v>45617</v>
      </c>
      <c r="C24" s="79">
        <f>Vtas!C27</f>
        <v>208.9</v>
      </c>
      <c r="D24" s="80">
        <f>Vtas!E27</f>
        <v>411.97</v>
      </c>
      <c r="E24" s="80">
        <f>Vtas!G27</f>
        <v>13.53</v>
      </c>
      <c r="F24" s="79">
        <f>Vtas!I27</f>
        <v>27</v>
      </c>
      <c r="G24" s="80">
        <f>Vtas!J27</f>
        <v>23.99</v>
      </c>
      <c r="H24" s="81">
        <f>Vtas!K27</f>
        <v>27.29</v>
      </c>
      <c r="I24" s="79">
        <f t="shared" si="0"/>
        <v>5640.3</v>
      </c>
      <c r="J24" s="80">
        <f t="shared" si="1"/>
        <v>9883.1602999999996</v>
      </c>
      <c r="K24" s="80">
        <f t="shared" si="2"/>
        <v>369.2337</v>
      </c>
      <c r="L24" s="80">
        <f t="shared" si="3"/>
        <v>15892.694</v>
      </c>
      <c r="M24" s="89">
        <f>Vtas!C27/Vtas!B27</f>
        <v>4.8985238770796448E-2</v>
      </c>
      <c r="N24" s="90">
        <f>Vtas!E27/Vtas!D27</f>
        <v>4.3079577538429364E-2</v>
      </c>
      <c r="O24" s="91">
        <f>Vtas!G27/Vtas!F27</f>
        <v>1.3397366075849093E-2</v>
      </c>
    </row>
    <row r="25" spans="2:15" x14ac:dyDescent="0.25">
      <c r="B25" s="82">
        <f>Vtas!A28</f>
        <v>45618</v>
      </c>
      <c r="C25" s="83">
        <f>Vtas!C28</f>
        <v>207.6</v>
      </c>
      <c r="D25" s="84">
        <f>Vtas!E28</f>
        <v>565.74</v>
      </c>
      <c r="E25" s="84">
        <f>Vtas!G28</f>
        <v>70.87</v>
      </c>
      <c r="F25" s="83">
        <f>Vtas!I28</f>
        <v>27</v>
      </c>
      <c r="G25" s="84">
        <f>Vtas!J28</f>
        <v>23.99</v>
      </c>
      <c r="H25" s="85">
        <f>Vtas!K28</f>
        <v>27.29</v>
      </c>
      <c r="I25" s="83">
        <f t="shared" si="0"/>
        <v>5605.2</v>
      </c>
      <c r="J25" s="84">
        <f t="shared" si="1"/>
        <v>13572.1026</v>
      </c>
      <c r="K25" s="84">
        <f t="shared" si="2"/>
        <v>1934.0423000000001</v>
      </c>
      <c r="L25" s="84">
        <f t="shared" si="3"/>
        <v>21111.3449</v>
      </c>
      <c r="M25" s="92">
        <f>Vtas!C28/Vtas!B28</f>
        <v>5.0770483664670248E-2</v>
      </c>
      <c r="N25" s="93">
        <f>Vtas!E28/Vtas!D28</f>
        <v>5.0044583147570224E-2</v>
      </c>
      <c r="O25" s="94">
        <f>Vtas!G28/Vtas!F28</f>
        <v>1.7032086268346083E-2</v>
      </c>
    </row>
    <row r="26" spans="2:15" x14ac:dyDescent="0.25">
      <c r="B26" s="78">
        <f>Vtas!A29</f>
        <v>45619</v>
      </c>
      <c r="C26" s="79">
        <f>Vtas!C29</f>
        <v>228.51</v>
      </c>
      <c r="D26" s="80">
        <f>Vtas!E29</f>
        <v>379.8</v>
      </c>
      <c r="E26" s="80">
        <f>Vtas!G29</f>
        <v>0</v>
      </c>
      <c r="F26" s="79">
        <f>Vtas!I29</f>
        <v>27</v>
      </c>
      <c r="G26" s="80">
        <f>Vtas!J29</f>
        <v>23.99</v>
      </c>
      <c r="H26" s="81">
        <f>Vtas!K29</f>
        <v>27.29</v>
      </c>
      <c r="I26" s="79">
        <f t="shared" si="0"/>
        <v>6169.7699999999995</v>
      </c>
      <c r="J26" s="80">
        <f t="shared" si="1"/>
        <v>9111.402</v>
      </c>
      <c r="K26" s="80">
        <f t="shared" si="2"/>
        <v>0</v>
      </c>
      <c r="L26" s="80">
        <f t="shared" si="3"/>
        <v>15281.171999999999</v>
      </c>
      <c r="M26" s="89">
        <f>Vtas!C29/Vtas!B29</f>
        <v>5.7773260620586603E-2</v>
      </c>
      <c r="N26" s="90">
        <f>Vtas!E29/Vtas!D29</f>
        <v>4.3073775465186565E-2</v>
      </c>
      <c r="O26" s="91">
        <f>Vtas!G29/Vtas!F29</f>
        <v>0</v>
      </c>
    </row>
    <row r="27" spans="2:15" x14ac:dyDescent="0.25">
      <c r="B27" s="82">
        <f>Vtas!A30</f>
        <v>45620</v>
      </c>
      <c r="C27" s="83">
        <f>Vtas!C30</f>
        <v>204.59</v>
      </c>
      <c r="D27" s="84">
        <f>Vtas!E30</f>
        <v>461.26</v>
      </c>
      <c r="E27" s="84">
        <f>Vtas!G30</f>
        <v>47.5</v>
      </c>
      <c r="F27" s="83">
        <f>Vtas!I30</f>
        <v>27</v>
      </c>
      <c r="G27" s="84">
        <f>Vtas!J30</f>
        <v>23.99</v>
      </c>
      <c r="H27" s="85">
        <f>Vtas!K30</f>
        <v>27.29</v>
      </c>
      <c r="I27" s="83">
        <f t="shared" si="0"/>
        <v>5523.93</v>
      </c>
      <c r="J27" s="84">
        <f t="shared" si="1"/>
        <v>11065.627399999999</v>
      </c>
      <c r="K27" s="84">
        <f t="shared" si="2"/>
        <v>1296.2749999999999</v>
      </c>
      <c r="L27" s="84">
        <f t="shared" si="3"/>
        <v>17885.832399999999</v>
      </c>
      <c r="M27" s="92">
        <f>Vtas!C30/Vtas!B30</f>
        <v>5.3243981782693559E-2</v>
      </c>
      <c r="N27" s="93">
        <f>Vtas!E30/Vtas!D30</f>
        <v>4.2609915031435963E-2</v>
      </c>
      <c r="O27" s="94">
        <f>Vtas!G30/Vtas!F30</f>
        <v>1.5701804550548239E-2</v>
      </c>
    </row>
    <row r="28" spans="2:15" x14ac:dyDescent="0.25">
      <c r="B28" s="78">
        <f>Vtas!A31</f>
        <v>45621</v>
      </c>
      <c r="C28" s="79">
        <f>Vtas!C31</f>
        <v>185.1</v>
      </c>
      <c r="D28" s="80">
        <f>Vtas!E31</f>
        <v>393.52</v>
      </c>
      <c r="E28" s="80">
        <f>Vtas!G31</f>
        <v>76.13</v>
      </c>
      <c r="F28" s="79">
        <f>Vtas!I31</f>
        <v>27</v>
      </c>
      <c r="G28" s="80">
        <f>Vtas!J31</f>
        <v>23.99</v>
      </c>
      <c r="H28" s="81">
        <f>Vtas!K31</f>
        <v>27.29</v>
      </c>
      <c r="I28" s="79">
        <f t="shared" si="0"/>
        <v>4997.7</v>
      </c>
      <c r="J28" s="80">
        <f t="shared" si="1"/>
        <v>9440.5447999999997</v>
      </c>
      <c r="K28" s="80">
        <f t="shared" si="2"/>
        <v>2077.5876999999996</v>
      </c>
      <c r="L28" s="80">
        <f t="shared" si="3"/>
        <v>16515.8325</v>
      </c>
      <c r="M28" s="89">
        <f>Vtas!C31/Vtas!B31</f>
        <v>5.8295173247837936E-2</v>
      </c>
      <c r="N28" s="90">
        <f>Vtas!E31/Vtas!D31</f>
        <v>4.3168955912859089E-2</v>
      </c>
      <c r="O28" s="91">
        <f>Vtas!G31/Vtas!F31</f>
        <v>9.0003073794717794E-2</v>
      </c>
    </row>
    <row r="29" spans="2:15" x14ac:dyDescent="0.25">
      <c r="B29" s="82">
        <f>Vtas!A32</f>
        <v>45622</v>
      </c>
      <c r="C29" s="83">
        <f>Vtas!C32</f>
        <v>245.89</v>
      </c>
      <c r="D29" s="84">
        <f>Vtas!E32</f>
        <v>506.95</v>
      </c>
      <c r="E29" s="84">
        <f>Vtas!G32</f>
        <v>59.82</v>
      </c>
      <c r="F29" s="83">
        <f>Vtas!I32</f>
        <v>27</v>
      </c>
      <c r="G29" s="84">
        <f>Vtas!J32</f>
        <v>23.99</v>
      </c>
      <c r="H29" s="85">
        <f>Vtas!K32</f>
        <v>27.29</v>
      </c>
      <c r="I29" s="83">
        <f t="shared" si="0"/>
        <v>6639.03</v>
      </c>
      <c r="J29" s="84">
        <f t="shared" si="1"/>
        <v>12161.7305</v>
      </c>
      <c r="K29" s="84">
        <f t="shared" si="2"/>
        <v>1632.4877999999999</v>
      </c>
      <c r="L29" s="84">
        <f t="shared" si="3"/>
        <v>20433.248299999999</v>
      </c>
      <c r="M29" s="92">
        <f>Vtas!C32/Vtas!B32</f>
        <v>6.4682362225437329E-2</v>
      </c>
      <c r="N29" s="93">
        <f>Vtas!E32/Vtas!D32</f>
        <v>5.2814278555600586E-2</v>
      </c>
      <c r="O29" s="94">
        <f>Vtas!G32/Vtas!F32</f>
        <v>2.4925830861028706E-2</v>
      </c>
    </row>
    <row r="30" spans="2:15" x14ac:dyDescent="0.25">
      <c r="B30" s="78">
        <f>Vtas!A33</f>
        <v>45623</v>
      </c>
      <c r="C30" s="79">
        <f>Vtas!C33</f>
        <v>206.17</v>
      </c>
      <c r="D30" s="80">
        <f>Vtas!E33</f>
        <v>606.55999999999995</v>
      </c>
      <c r="E30" s="80">
        <f>Vtas!G33</f>
        <v>99.18</v>
      </c>
      <c r="F30" s="79">
        <f>Vtas!I33</f>
        <v>27</v>
      </c>
      <c r="G30" s="80">
        <f>Vtas!J33</f>
        <v>23.99</v>
      </c>
      <c r="H30" s="81">
        <f>Vtas!K33</f>
        <v>27.29</v>
      </c>
      <c r="I30" s="79">
        <f t="shared" si="0"/>
        <v>5566.5899999999992</v>
      </c>
      <c r="J30" s="80">
        <f t="shared" si="1"/>
        <v>14551.374399999997</v>
      </c>
      <c r="K30" s="80">
        <f t="shared" si="2"/>
        <v>2706.6222000000002</v>
      </c>
      <c r="L30" s="80">
        <f t="shared" si="3"/>
        <v>22824.586599999999</v>
      </c>
      <c r="M30" s="89">
        <f>Vtas!C33/Vtas!B33</f>
        <v>6.1306658182002004E-2</v>
      </c>
      <c r="N30" s="90">
        <f>Vtas!E33/Vtas!D33</f>
        <v>5.5583759601339364E-2</v>
      </c>
      <c r="O30" s="91">
        <f>Vtas!G33/Vtas!F33</f>
        <v>3.9167212959379513E-2</v>
      </c>
    </row>
    <row r="31" spans="2:15" x14ac:dyDescent="0.25">
      <c r="B31" s="82">
        <f>Vtas!A34</f>
        <v>45624</v>
      </c>
      <c r="C31" s="83">
        <f>Vtas!C34</f>
        <v>178.17</v>
      </c>
      <c r="D31" s="84">
        <f>Vtas!E34</f>
        <v>339.02</v>
      </c>
      <c r="E31" s="84">
        <f>Vtas!G34</f>
        <v>61.9</v>
      </c>
      <c r="F31" s="83">
        <f>Vtas!I34</f>
        <v>27</v>
      </c>
      <c r="G31" s="84">
        <f>Vtas!J34</f>
        <v>23.99</v>
      </c>
      <c r="H31" s="85">
        <f>Vtas!K34</f>
        <v>27.29</v>
      </c>
      <c r="I31" s="83">
        <f t="shared" si="0"/>
        <v>4810.5899999999992</v>
      </c>
      <c r="J31" s="84">
        <f t="shared" si="1"/>
        <v>8133.0897999999988</v>
      </c>
      <c r="K31" s="84">
        <f t="shared" si="2"/>
        <v>1689.251</v>
      </c>
      <c r="L31" s="84">
        <f t="shared" si="3"/>
        <v>14632.930799999998</v>
      </c>
      <c r="M31" s="92">
        <f>Vtas!C34/Vtas!B34</f>
        <v>4.5038486330717019E-2</v>
      </c>
      <c r="N31" s="93">
        <f>Vtas!E34/Vtas!D34</f>
        <v>3.5805983154225965E-2</v>
      </c>
      <c r="O31" s="94">
        <f>Vtas!G34/Vtas!F34</f>
        <v>1.9147725163637264E-2</v>
      </c>
    </row>
    <row r="32" spans="2:15" x14ac:dyDescent="0.25">
      <c r="B32" s="78">
        <f>Vtas!A35</f>
        <v>45625</v>
      </c>
      <c r="C32" s="79">
        <f>Vtas!C35</f>
        <v>199.85</v>
      </c>
      <c r="D32" s="80">
        <f>Vtas!E35</f>
        <v>506.79</v>
      </c>
      <c r="E32" s="80">
        <f>Vtas!G35</f>
        <v>9.44</v>
      </c>
      <c r="F32" s="79">
        <f>Vtas!I35</f>
        <v>27</v>
      </c>
      <c r="G32" s="80">
        <f>Vtas!J35</f>
        <v>23.99</v>
      </c>
      <c r="H32" s="81">
        <f>Vtas!K35</f>
        <v>27.29</v>
      </c>
      <c r="I32" s="79">
        <f t="shared" si="0"/>
        <v>5395.95</v>
      </c>
      <c r="J32" s="80">
        <f t="shared" si="1"/>
        <v>12157.892099999999</v>
      </c>
      <c r="K32" s="80">
        <f t="shared" si="2"/>
        <v>257.61759999999998</v>
      </c>
      <c r="L32" s="80">
        <f t="shared" si="3"/>
        <v>17811.459699999999</v>
      </c>
      <c r="M32" s="89">
        <f>Vtas!C35/Vtas!B35</f>
        <v>5.0589045326367051E-2</v>
      </c>
      <c r="N32" s="90">
        <f>Vtas!E35/Vtas!D35</f>
        <v>4.6770009385563957E-2</v>
      </c>
      <c r="O32" s="91">
        <f>Vtas!G35/Vtas!F35</f>
        <v>1.0220210900114761E-2</v>
      </c>
    </row>
    <row r="33" spans="2:15" x14ac:dyDescent="0.25">
      <c r="B33" s="82">
        <f>Vtas!A36</f>
        <v>45626</v>
      </c>
      <c r="C33" s="83">
        <f>Vtas!C36</f>
        <v>176.12</v>
      </c>
      <c r="D33" s="84">
        <f>Vtas!E36</f>
        <v>504.92</v>
      </c>
      <c r="E33" s="84">
        <f>Vtas!G36</f>
        <v>33.909999999999997</v>
      </c>
      <c r="F33" s="83">
        <f>Vtas!I36</f>
        <v>27</v>
      </c>
      <c r="G33" s="84">
        <f>Vtas!J36</f>
        <v>23.99</v>
      </c>
      <c r="H33" s="85">
        <f>Vtas!K36</f>
        <v>27.29</v>
      </c>
      <c r="I33" s="83">
        <f t="shared" si="0"/>
        <v>4755.24</v>
      </c>
      <c r="J33" s="84">
        <f t="shared" si="1"/>
        <v>12113.0308</v>
      </c>
      <c r="K33" s="84">
        <f t="shared" si="2"/>
        <v>925.40389999999991</v>
      </c>
      <c r="L33" s="84">
        <f t="shared" si="3"/>
        <v>17793.6747</v>
      </c>
      <c r="M33" s="92">
        <f>Vtas!C36/Vtas!B36</f>
        <v>5.1759810029859167E-2</v>
      </c>
      <c r="N33" s="93">
        <f>Vtas!E36/Vtas!D36</f>
        <v>5.1095178583174368E-2</v>
      </c>
      <c r="O33" s="94">
        <f>Vtas!G36/Vtas!F36</f>
        <v>2.1038198817493158E-2</v>
      </c>
    </row>
    <row r="34" spans="2:15" x14ac:dyDescent="0.25">
      <c r="B34" s="78">
        <f>Vtas!A37</f>
        <v>45627</v>
      </c>
      <c r="C34" s="79">
        <f>Vtas!C37</f>
        <v>0</v>
      </c>
      <c r="D34" s="80">
        <f>Vtas!E37</f>
        <v>0</v>
      </c>
      <c r="E34" s="80">
        <f>Vtas!G37</f>
        <v>0</v>
      </c>
      <c r="F34" s="79">
        <f>Vtas!I37</f>
        <v>0</v>
      </c>
      <c r="G34" s="80">
        <f>Vtas!J37</f>
        <v>0</v>
      </c>
      <c r="H34" s="81">
        <f>Vtas!K37</f>
        <v>0</v>
      </c>
      <c r="I34" s="79">
        <f t="shared" si="0"/>
        <v>0</v>
      </c>
      <c r="J34" s="80">
        <f t="shared" si="1"/>
        <v>0</v>
      </c>
      <c r="K34" s="80">
        <f t="shared" si="2"/>
        <v>0</v>
      </c>
      <c r="L34" s="80">
        <f t="shared" si="3"/>
        <v>0</v>
      </c>
      <c r="M34" s="89" t="e">
        <f>Vtas!C37/Vtas!B37</f>
        <v>#DIV/0!</v>
      </c>
      <c r="N34" s="90" t="e">
        <f>Vtas!E37/Vtas!D37</f>
        <v>#DIV/0!</v>
      </c>
      <c r="O34" s="91" t="e">
        <f>Vtas!G37/Vtas!F37</f>
        <v>#DIV/0!</v>
      </c>
    </row>
    <row r="35" spans="2:15" x14ac:dyDescent="0.25">
      <c r="B35" s="86"/>
      <c r="C35" s="87">
        <f>SUM(C4:C34)</f>
        <v>5982.7800000000016</v>
      </c>
      <c r="D35" s="88">
        <f>SUM(D4:D34)</f>
        <v>14394.61</v>
      </c>
      <c r="E35" s="86">
        <f>SUM(E4:E34)</f>
        <v>1375.2000000000005</v>
      </c>
      <c r="F35" s="87">
        <f>I35/C35</f>
        <v>26.934112904034574</v>
      </c>
      <c r="G35" s="88">
        <f>J35/D35</f>
        <v>23.989999999999995</v>
      </c>
      <c r="H35" s="86">
        <f>K35/E35</f>
        <v>27.224342641070372</v>
      </c>
      <c r="I35" s="87">
        <f>SUM(I4:I34)</f>
        <v>161140.872</v>
      </c>
      <c r="J35" s="88">
        <f>SUM(J4:J34)</f>
        <v>345326.69389999995</v>
      </c>
      <c r="K35" s="88">
        <f>SUM(K4:K34)</f>
        <v>37438.91599999999</v>
      </c>
      <c r="L35" s="88">
        <f>SUM(L4:L34)</f>
        <v>543906.48190000001</v>
      </c>
      <c r="M35" s="95">
        <f>Vtas!X2</f>
        <v>4.8779819626254411E-2</v>
      </c>
      <c r="N35" s="96">
        <f>Vtas!AO2</f>
        <v>4.4832312331122906E-2</v>
      </c>
      <c r="O35" s="97">
        <f>Vtas!BF2</f>
        <v>2.2701037146206273E-2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Vtas</vt:lpstr>
      <vt:lpstr>RVtas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Arturo</dc:creator>
  <cp:lastModifiedBy>Felix Abascal</cp:lastModifiedBy>
  <dcterms:created xsi:type="dcterms:W3CDTF">2023-09-27T20:39:59Z</dcterms:created>
  <dcterms:modified xsi:type="dcterms:W3CDTF">2026-01-05T20:38:03Z</dcterms:modified>
</cp:coreProperties>
</file>